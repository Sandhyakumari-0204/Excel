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1" documentId="8_{A28A87DF-6C72-4A47-9029-C7C828ABA212}" xr6:coauthVersionLast="47" xr6:coauthVersionMax="47" xr10:uidLastSave="{35537E1D-38F3-4BA6-A653-FB3E126175B7}"/>
  <bookViews>
    <workbookView xWindow="-108" yWindow="-108" windowWidth="23256" windowHeight="12456" firstSheet="2" activeTab="6" xr2:uid="{00000000-000D-0000-FFFF-FFFF00000000}"/>
  </bookViews>
  <sheets>
    <sheet name="TOC" sheetId="1" r:id="rId1"/>
    <sheet name="VLOOKUP Definition" sheetId="2" r:id="rId2"/>
    <sheet name="VLOOKUP Uses" sheetId="3" r:id="rId3"/>
    <sheet name="Write a VLOOKUP" sheetId="4" r:id="rId4"/>
    <sheet name="Errors" sheetId="5" r:id="rId5"/>
    <sheet name="First Match &amp; Sorting" sheetId="6" r:id="rId6"/>
    <sheet name="Relationships" sheetId="7" r:id="rId7"/>
    <sheet name="Lookup Tables" sheetId="8" r:id="rId8"/>
  </sheets>
  <definedNames>
    <definedName name="_xlnm._FilterDatabase" localSheetId="6" hidden="1">Relationships!$A$3:$G$341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4" i="7"/>
  <c r="B16" i="6"/>
  <c r="B20" i="5"/>
  <c r="B16" i="5"/>
  <c r="B17" i="5"/>
  <c r="B18" i="5"/>
  <c r="B19" i="5"/>
  <c r="B15" i="4"/>
</calcChain>
</file>

<file path=xl/sharedStrings.xml><?xml version="1.0" encoding="utf-8"?>
<sst xmlns="http://schemas.openxmlformats.org/spreadsheetml/2006/main" count="863" uniqueCount="127">
  <si>
    <t>11222B3</t>
  </si>
  <si>
    <t>Table of Contents</t>
  </si>
  <si>
    <t>How to Write a VLOOKUP Formula</t>
  </si>
  <si>
    <t>'Overview'!A1</t>
  </si>
  <si>
    <t>What can we use VLOOKUP for?</t>
  </si>
  <si>
    <t>CLASSIC FAVORITES</t>
  </si>
  <si>
    <t>TALL</t>
  </si>
  <si>
    <t>'VLOOKUP Definition'!A1</t>
  </si>
  <si>
    <t>GRANDE</t>
  </si>
  <si>
    <t>VENTI</t>
  </si>
  <si>
    <t>Caffe Latte</t>
  </si>
  <si>
    <t>Cappuccino</t>
  </si>
  <si>
    <t>Caramel Macchiato</t>
  </si>
  <si>
    <t>'VLOOKUP Uses'!A1</t>
  </si>
  <si>
    <t>Create Relationships Between Data &amp; Lookup Tables</t>
  </si>
  <si>
    <t>Caffe Mocha</t>
  </si>
  <si>
    <t>'Write a VLOOKUP'!A1</t>
  </si>
  <si>
    <t>'Errors'!A1</t>
  </si>
  <si>
    <t>White Chocolate Mocha</t>
  </si>
  <si>
    <t>'First Match &amp; Sorting'!A1</t>
  </si>
  <si>
    <t>Caffe Americano</t>
  </si>
  <si>
    <t>'Relationships'!A1</t>
  </si>
  <si>
    <t>'Lookup Tables'!A1</t>
  </si>
  <si>
    <t>Cinnamon Dolce Latte</t>
  </si>
  <si>
    <t>Drip Coffee</t>
  </si>
  <si>
    <t xml:space="preserve">This Table of Contents was created in </t>
  </si>
  <si>
    <t>Search Tables &amp; Databases</t>
  </si>
  <si>
    <t>one click with the Tab Hound Add-in.</t>
  </si>
  <si>
    <t>Question: What is the price of a Caffe Mocha, size Grande?</t>
  </si>
  <si>
    <t/>
  </si>
  <si>
    <t>Interactive Reports &amp; Financial Models</t>
  </si>
  <si>
    <t>Tax &amp; Commission Rate Calculations</t>
  </si>
  <si>
    <t>The Two Main Causes of Errors</t>
  </si>
  <si>
    <t>Question: How much will this order cost for size Grandes?</t>
  </si>
  <si>
    <t>Grande</t>
  </si>
  <si>
    <t>Total</t>
  </si>
  <si>
    <t>Stops at First Match &amp; Sorting Data</t>
  </si>
  <si>
    <t>Steamer</t>
  </si>
  <si>
    <t>Create Relationships Between Tables - VLOOKUP to Other Sheets</t>
  </si>
  <si>
    <t>Order ID</t>
  </si>
  <si>
    <t>Customer ID</t>
  </si>
  <si>
    <t>Salesperson</t>
  </si>
  <si>
    <t>Product Name</t>
  </si>
  <si>
    <t>Revenue</t>
  </si>
  <si>
    <t>Product Category</t>
  </si>
  <si>
    <t>Rep's Region</t>
  </si>
  <si>
    <t>Mariya Sergienko</t>
  </si>
  <si>
    <t>Wine</t>
  </si>
  <si>
    <t>Dried Plums</t>
  </si>
  <si>
    <t>Andrew Cencini</t>
  </si>
  <si>
    <t>Dried Pears</t>
  </si>
  <si>
    <t>Dried Apples</t>
  </si>
  <si>
    <t>Chai</t>
  </si>
  <si>
    <t>Coffee</t>
  </si>
  <si>
    <t>Nancy Freehafer</t>
  </si>
  <si>
    <t>Chocolate Biscuits Mix</t>
  </si>
  <si>
    <t>Jan Kotas</t>
  </si>
  <si>
    <t>Chocolate</t>
  </si>
  <si>
    <t>Clam Chowder</t>
  </si>
  <si>
    <t>Michael Neipper</t>
  </si>
  <si>
    <t>Curry Sauce</t>
  </si>
  <si>
    <t>Anne Larsen</t>
  </si>
  <si>
    <t>Laura Giussani</t>
  </si>
  <si>
    <t>Green Tea</t>
  </si>
  <si>
    <t>Boysenberry Spread</t>
  </si>
  <si>
    <t>Cajun Seasoning</t>
  </si>
  <si>
    <t>Crab Meat</t>
  </si>
  <si>
    <t>Robert Zare</t>
  </si>
  <si>
    <t>Mozzarella</t>
  </si>
  <si>
    <t>Syrup</t>
  </si>
  <si>
    <t>Lookup Tables</t>
  </si>
  <si>
    <t>Category</t>
  </si>
  <si>
    <t>City</t>
  </si>
  <si>
    <t>State</t>
  </si>
  <si>
    <t>Extension</t>
  </si>
  <si>
    <t>Manager</t>
  </si>
  <si>
    <t>Plan</t>
  </si>
  <si>
    <t>Region</t>
  </si>
  <si>
    <t>Customer Name</t>
  </si>
  <si>
    <t>Beverages</t>
  </si>
  <si>
    <t>Las Vegas</t>
  </si>
  <si>
    <t>NV</t>
  </si>
  <si>
    <t>Kyla Walker</t>
  </si>
  <si>
    <t>Gold</t>
  </si>
  <si>
    <t>West</t>
  </si>
  <si>
    <t>Tagchat</t>
  </si>
  <si>
    <t>Dried Fruit &amp; Nuts</t>
  </si>
  <si>
    <t>New York</t>
  </si>
  <si>
    <t>NY</t>
  </si>
  <si>
    <t>Platinum</t>
  </si>
  <si>
    <t>East</t>
  </si>
  <si>
    <t>Centizu</t>
  </si>
  <si>
    <t>North</t>
  </si>
  <si>
    <t>Divanoodle</t>
  </si>
  <si>
    <t>Grant Franklin</t>
  </si>
  <si>
    <t>Silver</t>
  </si>
  <si>
    <t>Layo</t>
  </si>
  <si>
    <t>Portland</t>
  </si>
  <si>
    <t>OR</t>
  </si>
  <si>
    <t>Celeste Dalton</t>
  </si>
  <si>
    <t>Cogilith</t>
  </si>
  <si>
    <t>South</t>
  </si>
  <si>
    <t>Dabjam</t>
  </si>
  <si>
    <t>Baked Goods &amp; Mixes</t>
  </si>
  <si>
    <t>Milwaukee</t>
  </si>
  <si>
    <t>WI</t>
  </si>
  <si>
    <t>Topicblab</t>
  </si>
  <si>
    <t>Candy</t>
  </si>
  <si>
    <t>Los Angeles</t>
  </si>
  <si>
    <t>CA</t>
  </si>
  <si>
    <t>Einti</t>
  </si>
  <si>
    <t>Soups</t>
  </si>
  <si>
    <t>Voonix</t>
  </si>
  <si>
    <t>Sauces</t>
  </si>
  <si>
    <t>Ooba</t>
  </si>
  <si>
    <t>Zoozzy</t>
  </si>
  <si>
    <t>Jams, Preserves</t>
  </si>
  <si>
    <t>Jabberstorm</t>
  </si>
  <si>
    <t>Condiments</t>
  </si>
  <si>
    <t>Devpulse</t>
  </si>
  <si>
    <t>Canned Meat</t>
  </si>
  <si>
    <t>Thoughtbridge</t>
  </si>
  <si>
    <t>Ravioli</t>
  </si>
  <si>
    <t>Pasta</t>
  </si>
  <si>
    <t>Fliptune</t>
  </si>
  <si>
    <t>Dairy Products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</si>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</sst>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1"/>
      <name val="Calibri"/>
    </font>
    <font>
      <b/>
      <sz val="13"/>
      <color theme="1"/>
      <name val="Calibri"/>
    </font>
    <font>
      <i/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i/>
      <sz val="10"/>
      <color rgb="FF3F3F3F"/>
      <name val="Calibri"/>
    </font>
    <font>
      <u/>
      <sz val="10"/>
      <color theme="10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 style="medium">
        <color rgb="FFA8D08D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5" fillId="3" borderId="2" xfId="0" applyFont="1" applyFill="1" applyBorder="1"/>
    <xf numFmtId="0" fontId="6" fillId="2" borderId="1" xfId="0" applyFont="1" applyFill="1" applyBorder="1"/>
    <xf numFmtId="0" fontId="7" fillId="3" borderId="2" xfId="0" applyFont="1" applyFill="1" applyBorder="1"/>
    <xf numFmtId="0" fontId="8" fillId="0" borderId="0" xfId="0" applyFont="1" applyAlignment="1">
      <alignment horizontal="left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0" fontId="2" fillId="4" borderId="1" xfId="0" applyFont="1" applyFill="1" applyBorder="1"/>
    <xf numFmtId="0" fontId="9" fillId="0" borderId="0" xfId="0" applyFont="1" applyAlignment="1">
      <alignment horizontal="center"/>
    </xf>
    <xf numFmtId="0" fontId="5" fillId="4" borderId="1" xfId="0" applyFont="1" applyFill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5" borderId="1" xfId="0" applyFont="1" applyFill="1" applyBorder="1"/>
    <xf numFmtId="0" fontId="2" fillId="0" borderId="0" xfId="0" quotePrefix="1" applyFont="1"/>
    <xf numFmtId="0" fontId="12" fillId="0" borderId="0" xfId="0" applyFont="1"/>
    <xf numFmtId="0" fontId="2" fillId="5" borderId="1" xfId="0" applyFont="1" applyFill="1" applyBorder="1"/>
    <xf numFmtId="2" fontId="2" fillId="0" borderId="3" xfId="0" applyNumberFormat="1" applyFont="1" applyBorder="1"/>
    <xf numFmtId="8" fontId="2" fillId="0" borderId="0" xfId="0" applyNumberFormat="1" applyFont="1"/>
    <xf numFmtId="0" fontId="2" fillId="0" borderId="4" xfId="0" applyFont="1" applyBorder="1"/>
    <xf numFmtId="0" fontId="6" fillId="0" borderId="5" xfId="0" applyFont="1" applyBorder="1"/>
    <xf numFmtId="8" fontId="2" fillId="0" borderId="5" xfId="0" applyNumberFormat="1" applyFont="1" applyBorder="1"/>
    <xf numFmtId="0" fontId="2" fillId="6" borderId="1" xfId="0" applyFont="1" applyFill="1" applyBorder="1"/>
    <xf numFmtId="2" fontId="2" fillId="0" borderId="6" xfId="0" applyNumberFormat="1" applyFont="1" applyBorder="1"/>
    <xf numFmtId="0" fontId="6" fillId="7" borderId="1" xfId="0" applyFont="1" applyFill="1" applyBorder="1"/>
    <xf numFmtId="0" fontId="6" fillId="8" borderId="1" xfId="0" applyFont="1" applyFill="1" applyBorder="1"/>
    <xf numFmtId="0" fontId="6" fillId="9" borderId="1" xfId="0" applyFont="1" applyFill="1" applyBorder="1"/>
    <xf numFmtId="0" fontId="13" fillId="0" borderId="0" xfId="0" applyFont="1"/>
    <xf numFmtId="44" fontId="2" fillId="0" borderId="0" xfId="0" applyNumberFormat="1" applyFont="1"/>
    <xf numFmtId="0" fontId="6" fillId="10" borderId="1" xfId="0" applyFont="1" applyFill="1" applyBorder="1"/>
    <xf numFmtId="0" fontId="9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BB0A92-E3E3-4B48-8AC5-5579328125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161925</xdr:rowOff>
    </xdr:from>
    <xdr:ext cx="5400675" cy="3467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04850" y="161925"/>
          <a:ext cx="5400675" cy="3467100"/>
          <a:chOff x="2645663" y="2046450"/>
          <a:chExt cx="5400675" cy="3467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2645663" y="2046450"/>
            <a:ext cx="5400675" cy="3467100"/>
            <a:chOff x="419100" y="162038"/>
            <a:chExt cx="5400675" cy="3286506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419100" y="162038"/>
              <a:ext cx="5400675" cy="3286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 descr="VLOOKUP Explained at Starbucks Steps 1-2-3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389118" y="162038"/>
              <a:ext cx="3430657" cy="3286506"/>
            </a:xfrm>
            <a:prstGeom prst="rect">
              <a:avLst/>
            </a:prstGeom>
            <a:noFill/>
            <a:ln>
              <a:noFill/>
            </a:ln>
            <a:effectLst>
              <a:outerShdw blurRad="50800" dist="38100" dir="2700000" algn="tl" rotWithShape="0">
                <a:srgbClr val="000000">
                  <a:alpha val="40000"/>
                </a:srgbClr>
              </a:outerShdw>
            </a:effectLst>
          </xdr:spPr>
        </xdr:pic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419100" y="2801177"/>
              <a:ext cx="1842051" cy="389698"/>
            </a:xfrm>
            <a:prstGeom prst="rect">
              <a:avLst/>
            </a:prstGeom>
            <a:solidFill>
              <a:srgbClr val="FFFF99"/>
            </a:solidFill>
            <a:ln w="9525" cap="flat" cmpd="sng">
              <a:solidFill>
                <a:srgbClr val="FFC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Always looks to the Right!</a:t>
              </a:r>
              <a:endParaRPr sz="1100" b="1"/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257164" y="2741543"/>
              <a:ext cx="750663" cy="267172"/>
            </a:xfrm>
            <a:custGeom>
              <a:avLst/>
              <a:gdLst/>
              <a:ahLst/>
              <a:cxnLst/>
              <a:rect l="l" t="t" r="r" b="b"/>
              <a:pathLst>
                <a:path w="828260" h="242324" extrusionOk="0">
                  <a:moveTo>
                    <a:pt x="0" y="231913"/>
                  </a:moveTo>
                  <a:cubicBezTo>
                    <a:pt x="84206" y="242956"/>
                    <a:pt x="168413" y="254000"/>
                    <a:pt x="306456" y="215348"/>
                  </a:cubicBezTo>
                  <a:cubicBezTo>
                    <a:pt x="444499" y="176696"/>
                    <a:pt x="636379" y="88348"/>
                    <a:pt x="828260" y="0"/>
                  </a:cubicBezTo>
                </a:path>
              </a:pathLst>
            </a:custGeom>
            <a:noFill/>
            <a:ln w="28575" cap="flat" cmpd="sng">
              <a:solidFill>
                <a:srgbClr val="FFC000"/>
              </a:solidFill>
              <a:prstDash val="solid"/>
              <a:miter lim="8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50"/>
            </a:p>
          </xdr:txBody>
        </xdr:sp>
      </xdr:grpSp>
    </xdr:grpSp>
    <xdr:clientData fLocksWithSheet="0"/>
  </xdr:oneCellAnchor>
  <xdr:oneCellAnchor>
    <xdr:from>
      <xdr:col>0</xdr:col>
      <xdr:colOff>200025</xdr:colOff>
      <xdr:row>0</xdr:row>
      <xdr:rowOff>161925</xdr:rowOff>
    </xdr:from>
    <xdr:ext cx="2238375" cy="17430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4231575" y="2913225"/>
          <a:ext cx="2228850" cy="1733550"/>
        </a:xfrm>
        <a:prstGeom prst="rect">
          <a:avLst/>
        </a:prstGeom>
        <a:solidFill>
          <a:srgbClr val="F2F2F2"/>
        </a:solidFill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VLOOKUP Definition: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Look for a value in a column and return a result from a cell in the row where a match is found.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Allows us to answer questions: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What is the price of a Caffe Mocha size Grande?</a:t>
          </a:r>
          <a:endParaRPr sz="1200" b="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3</xdr:row>
      <xdr:rowOff>133350</xdr:rowOff>
    </xdr:from>
    <xdr:ext cx="7248525" cy="3486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06705" y="803910"/>
          <a:ext cx="7248525" cy="3486150"/>
          <a:chOff x="1721738" y="2036925"/>
          <a:chExt cx="7248525" cy="3486150"/>
        </a:xfrm>
      </xdr:grpSpPr>
      <xdr:grpSp>
        <xdr:nvGrpSpPr>
          <xdr:cNvPr id="8" name="Shape 8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1721738" y="2036925"/>
            <a:ext cx="7248525" cy="3486150"/>
            <a:chOff x="295275" y="771525"/>
            <a:chExt cx="7451414" cy="33056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295275" y="771525"/>
              <a:ext cx="7451400" cy="3305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95275" y="781050"/>
              <a:ext cx="4639169" cy="3181350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10" name="Shape 10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CxnSpPr>
              <a:stCxn id="7" idx="1"/>
            </xdr:cNvCxnSpPr>
          </xdr:nvCxnSpPr>
          <xdr:spPr>
            <a:xfrm rot="10800000">
              <a:off x="4600577" y="1114389"/>
              <a:ext cx="800100" cy="309600"/>
            </a:xfrm>
            <a:prstGeom prst="bentConnector3">
              <a:avLst>
                <a:gd name="adj1" fmla="val 50000"/>
              </a:avLst>
            </a:prstGeom>
            <a:noFill/>
            <a:ln w="57150" cap="flat" cmpd="sng">
              <a:solidFill>
                <a:srgbClr val="595959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  <xdr:pic>
          <xdr:nvPic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400676" y="771525"/>
              <a:ext cx="2346013" cy="130492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5400676" y="2162175"/>
              <a:ext cx="1962150" cy="1914950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13" name="Shape 13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CxnSpPr>
              <a:stCxn id="12" idx="1"/>
            </xdr:cNvCxnSpPr>
          </xdr:nvCxnSpPr>
          <xdr:spPr>
            <a:xfrm rot="10800000">
              <a:off x="3676576" y="2324050"/>
              <a:ext cx="1724100" cy="795600"/>
            </a:xfrm>
            <a:prstGeom prst="bentConnector3">
              <a:avLst>
                <a:gd name="adj1" fmla="val 43679"/>
              </a:avLst>
            </a:prstGeom>
            <a:noFill/>
            <a:ln w="57150" cap="flat" cmpd="sng">
              <a:solidFill>
                <a:srgbClr val="595959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46</xdr:row>
      <xdr:rowOff>171450</xdr:rowOff>
    </xdr:from>
    <xdr:ext cx="1609725" cy="6381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550663" y="3470438"/>
          <a:ext cx="1590675" cy="619125"/>
        </a:xfrm>
        <a:prstGeom prst="wedgeRoundRectCallout">
          <a:avLst>
            <a:gd name="adj1" fmla="val -56833"/>
            <a:gd name="adj2" fmla="val -21451"/>
            <a:gd name="adj3" fmla="val 16667"/>
          </a:avLst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Use drop-down menu for dynamic inputs.</a:t>
          </a:r>
          <a:endParaRPr sz="1200"/>
        </a:p>
      </xdr:txBody>
    </xdr:sp>
    <xdr:clientData fLocksWithSheet="0"/>
  </xdr:oneCellAnchor>
  <xdr:oneCellAnchor>
    <xdr:from>
      <xdr:col>1</xdr:col>
      <xdr:colOff>123825</xdr:colOff>
      <xdr:row>24</xdr:row>
      <xdr:rowOff>152400</xdr:rowOff>
    </xdr:from>
    <xdr:ext cx="6562725" cy="33432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68</xdr:row>
      <xdr:rowOff>180975</xdr:rowOff>
    </xdr:from>
    <xdr:ext cx="5334000" cy="30194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46</xdr:row>
      <xdr:rowOff>171450</xdr:rowOff>
    </xdr:from>
    <xdr:ext cx="6181725" cy="337185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2</xdr:row>
      <xdr:rowOff>47625</xdr:rowOff>
    </xdr:from>
    <xdr:ext cx="4752975" cy="1990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5</xdr:row>
      <xdr:rowOff>133350</xdr:rowOff>
    </xdr:from>
    <xdr:ext cx="2076450" cy="514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307775" y="3527588"/>
          <a:ext cx="2076450" cy="504825"/>
        </a:xfrm>
        <a:prstGeom prst="wedgeRectCallout">
          <a:avLst>
            <a:gd name="adj1" fmla="val -57346"/>
            <a:gd name="adj2" fmla="val -23214"/>
          </a:avLst>
        </a:prstGeom>
        <a:solidFill>
          <a:srgbClr val="FFFF99"/>
        </a:solidFill>
        <a:ln w="9525" cap="flat" cmpd="sng">
          <a:solidFill>
            <a:srgbClr val="FFC0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Vlookup STOPS when it finds the first match.</a:t>
          </a:r>
          <a:endParaRPr sz="1200" b="1"/>
        </a:p>
      </xdr:txBody>
    </xdr:sp>
    <xdr:clientData fLocksWithSheet="0"/>
  </xdr:oneCellAnchor>
  <xdr:oneCellAnchor>
    <xdr:from>
      <xdr:col>4</xdr:col>
      <xdr:colOff>95250</xdr:colOff>
      <xdr:row>9</xdr:row>
      <xdr:rowOff>28575</xdr:rowOff>
    </xdr:from>
    <xdr:ext cx="2171700" cy="5524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4260150" y="3508538"/>
          <a:ext cx="2171700" cy="542925"/>
        </a:xfrm>
        <a:prstGeom prst="wedgeRectCallout">
          <a:avLst>
            <a:gd name="adj1" fmla="val -48972"/>
            <a:gd name="adj2" fmla="val -25220"/>
          </a:avLst>
        </a:prstGeom>
        <a:solidFill>
          <a:srgbClr val="FFFF99"/>
        </a:solidFill>
        <a:ln w="9525" cap="flat" cmpd="sng">
          <a:solidFill>
            <a:srgbClr val="FFC0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Sort Ascending is NOT required for EXACT match Vlookup</a:t>
          </a:r>
          <a:endParaRPr sz="12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/>
  </sheetViews>
  <sheetFormatPr defaultColWidth="14.44140625" defaultRowHeight="15" customHeight="1" x14ac:dyDescent="0.3"/>
  <cols>
    <col min="1" max="2" width="4.109375" customWidth="1"/>
    <col min="3" max="3" width="20.5546875" customWidth="1"/>
    <col min="4" max="4" width="15.6640625" customWidth="1"/>
    <col min="5" max="5" width="8.6640625" customWidth="1"/>
    <col min="6" max="6" width="23.5546875" customWidth="1"/>
    <col min="7" max="7" width="41.88671875" customWidth="1"/>
    <col min="8" max="26" width="8.6640625" customWidth="1"/>
  </cols>
  <sheetData>
    <row r="1" spans="1:3" ht="14.4" x14ac:dyDescent="0.3">
      <c r="A1" s="1" t="s">
        <v>0</v>
      </c>
      <c r="C1" s="2"/>
    </row>
    <row r="2" spans="1:3" ht="17.399999999999999" x14ac:dyDescent="0.35">
      <c r="B2" s="3" t="s">
        <v>1</v>
      </c>
      <c r="C2" s="2"/>
    </row>
    <row r="3" spans="1:3" ht="14.4" x14ac:dyDescent="0.3">
      <c r="B3" s="4">
        <v>1</v>
      </c>
      <c r="C3" s="9" t="s">
        <v>3</v>
      </c>
    </row>
    <row r="4" spans="1:3" ht="14.4" x14ac:dyDescent="0.3">
      <c r="B4" s="4">
        <v>2</v>
      </c>
      <c r="C4" s="9" t="s">
        <v>7</v>
      </c>
    </row>
    <row r="5" spans="1:3" ht="14.4" x14ac:dyDescent="0.3">
      <c r="B5" s="4">
        <v>3</v>
      </c>
      <c r="C5" s="9" t="s">
        <v>13</v>
      </c>
    </row>
    <row r="6" spans="1:3" ht="14.4" x14ac:dyDescent="0.3">
      <c r="B6" s="4">
        <v>4</v>
      </c>
      <c r="C6" s="9" t="s">
        <v>16</v>
      </c>
    </row>
    <row r="7" spans="1:3" ht="14.4" x14ac:dyDescent="0.3">
      <c r="B7" s="4">
        <v>5</v>
      </c>
      <c r="C7" s="9" t="s">
        <v>17</v>
      </c>
    </row>
    <row r="8" spans="1:3" ht="14.4" x14ac:dyDescent="0.3">
      <c r="B8" s="4">
        <v>6</v>
      </c>
      <c r="C8" s="9" t="s">
        <v>19</v>
      </c>
    </row>
    <row r="9" spans="1:3" ht="14.4" x14ac:dyDescent="0.3">
      <c r="B9" s="4">
        <v>7</v>
      </c>
      <c r="C9" s="9" t="s">
        <v>21</v>
      </c>
    </row>
    <row r="10" spans="1:3" ht="14.4" x14ac:dyDescent="0.3">
      <c r="B10" s="4">
        <v>8</v>
      </c>
      <c r="C10" s="9" t="s">
        <v>22</v>
      </c>
    </row>
    <row r="11" spans="1:3" ht="14.4" x14ac:dyDescent="0.3">
      <c r="B11" s="10"/>
      <c r="C11" s="2"/>
    </row>
    <row r="12" spans="1:3" ht="14.4" x14ac:dyDescent="0.3">
      <c r="B12" s="10"/>
      <c r="C12" s="17" t="s">
        <v>25</v>
      </c>
    </row>
    <row r="13" spans="1:3" ht="14.4" x14ac:dyDescent="0.3">
      <c r="B13" s="10"/>
      <c r="C13" s="17" t="s">
        <v>27</v>
      </c>
    </row>
    <row r="14" spans="1:3" ht="14.4" x14ac:dyDescent="0.3">
      <c r="B14" s="10"/>
      <c r="C14" s="18"/>
    </row>
    <row r="15" spans="1:3" ht="14.4" x14ac:dyDescent="0.3">
      <c r="B15" s="10"/>
      <c r="C15" s="2"/>
    </row>
    <row r="16" spans="1:3" ht="14.4" x14ac:dyDescent="0.3">
      <c r="B16" s="10"/>
      <c r="C16" s="2"/>
    </row>
    <row r="17" spans="2:7" ht="14.4" x14ac:dyDescent="0.3">
      <c r="B17" s="10"/>
      <c r="C17" s="2"/>
      <c r="G17" s="21"/>
    </row>
    <row r="18" spans="2:7" ht="14.4" x14ac:dyDescent="0.3">
      <c r="B18" s="10"/>
      <c r="C18" s="2"/>
    </row>
    <row r="19" spans="2:7" ht="14.4" x14ac:dyDescent="0.3">
      <c r="B19" s="10"/>
      <c r="C19" s="2"/>
    </row>
    <row r="20" spans="2:7" ht="14.4" x14ac:dyDescent="0.3">
      <c r="B20" s="10"/>
      <c r="C20" s="2"/>
    </row>
    <row r="21" spans="2:7" ht="15.75" customHeight="1" x14ac:dyDescent="0.3">
      <c r="B21" s="10"/>
      <c r="C21" s="2"/>
    </row>
    <row r="22" spans="2:7" ht="15.75" customHeight="1" x14ac:dyDescent="0.3">
      <c r="B22" s="10"/>
      <c r="C22" s="2"/>
    </row>
    <row r="23" spans="2:7" ht="15.75" customHeight="1" x14ac:dyDescent="0.3">
      <c r="B23" s="10"/>
      <c r="C23" s="2"/>
    </row>
    <row r="24" spans="2:7" ht="15.75" customHeight="1" x14ac:dyDescent="0.3">
      <c r="B24" s="10"/>
      <c r="C24" s="2"/>
    </row>
    <row r="25" spans="2:7" ht="15.75" customHeight="1" x14ac:dyDescent="0.3">
      <c r="B25" s="10"/>
      <c r="C25" s="2"/>
    </row>
    <row r="26" spans="2:7" ht="15.75" customHeight="1" x14ac:dyDescent="0.3">
      <c r="B26" s="10"/>
      <c r="C26" s="2"/>
    </row>
    <row r="27" spans="2:7" ht="15.75" customHeight="1" x14ac:dyDescent="0.3">
      <c r="B27" s="10"/>
      <c r="C27" s="2"/>
    </row>
    <row r="28" spans="2:7" ht="15.75" customHeight="1" x14ac:dyDescent="0.3">
      <c r="B28" s="10"/>
      <c r="C28" s="2"/>
    </row>
    <row r="29" spans="2:7" ht="15.75" customHeight="1" x14ac:dyDescent="0.3">
      <c r="B29" s="10"/>
      <c r="C29" s="2"/>
    </row>
    <row r="30" spans="2:7" ht="15.75" customHeight="1" x14ac:dyDescent="0.3">
      <c r="B30" s="10"/>
      <c r="C30" s="2"/>
    </row>
    <row r="31" spans="2:7" ht="15.75" customHeight="1" x14ac:dyDescent="0.3">
      <c r="B31" s="10"/>
      <c r="C31" s="2"/>
    </row>
    <row r="32" spans="2:7" ht="15.75" customHeight="1" x14ac:dyDescent="0.3">
      <c r="B32" s="10"/>
      <c r="C32" s="2"/>
    </row>
    <row r="33" spans="2:3" ht="15.75" customHeight="1" x14ac:dyDescent="0.3">
      <c r="B33" s="10"/>
      <c r="C33" s="2"/>
    </row>
    <row r="34" spans="2:3" ht="15.75" customHeight="1" x14ac:dyDescent="0.3">
      <c r="B34" s="10"/>
      <c r="C34" s="2"/>
    </row>
    <row r="35" spans="2:3" ht="15.75" customHeight="1" x14ac:dyDescent="0.3">
      <c r="B35" s="10"/>
      <c r="C35" s="2"/>
    </row>
    <row r="36" spans="2:3" ht="15.75" customHeight="1" x14ac:dyDescent="0.3">
      <c r="B36" s="10"/>
      <c r="C36" s="2"/>
    </row>
    <row r="37" spans="2:3" ht="15.75" customHeight="1" x14ac:dyDescent="0.3">
      <c r="B37" s="10"/>
      <c r="C37" s="2"/>
    </row>
    <row r="38" spans="2:3" ht="15.75" customHeight="1" x14ac:dyDescent="0.3">
      <c r="B38" s="10"/>
      <c r="C38" s="2"/>
    </row>
    <row r="39" spans="2:3" ht="15.75" customHeight="1" x14ac:dyDescent="0.3">
      <c r="B39" s="10"/>
      <c r="C39" s="2"/>
    </row>
    <row r="40" spans="2:3" ht="15.75" customHeight="1" x14ac:dyDescent="0.3">
      <c r="B40" s="10"/>
      <c r="C40" s="2"/>
    </row>
    <row r="41" spans="2:3" ht="15.75" customHeight="1" x14ac:dyDescent="0.3">
      <c r="B41" s="10"/>
      <c r="C41" s="2"/>
    </row>
    <row r="42" spans="2:3" ht="15.75" customHeight="1" x14ac:dyDescent="0.3">
      <c r="B42" s="10"/>
      <c r="C42" s="2"/>
    </row>
    <row r="43" spans="2:3" ht="15.75" customHeight="1" x14ac:dyDescent="0.3">
      <c r="B43" s="10"/>
      <c r="C43" s="2"/>
    </row>
    <row r="44" spans="2:3" ht="15.75" customHeight="1" x14ac:dyDescent="0.3">
      <c r="B44" s="10"/>
      <c r="C44" s="2"/>
    </row>
    <row r="45" spans="2:3" ht="15.75" customHeight="1" x14ac:dyDescent="0.3">
      <c r="B45" s="10"/>
      <c r="C45" s="2"/>
    </row>
    <row r="46" spans="2:3" ht="15.75" customHeight="1" x14ac:dyDescent="0.3">
      <c r="B46" s="10"/>
      <c r="C46" s="2"/>
    </row>
    <row r="47" spans="2:3" ht="15.75" customHeight="1" x14ac:dyDescent="0.3">
      <c r="B47" s="10"/>
      <c r="C47" s="2"/>
    </row>
    <row r="48" spans="2:3" ht="15.75" customHeight="1" x14ac:dyDescent="0.3">
      <c r="B48" s="10"/>
      <c r="C48" s="2"/>
    </row>
    <row r="49" spans="2:3" ht="15.75" customHeight="1" x14ac:dyDescent="0.3">
      <c r="B49" s="10"/>
      <c r="C49" s="2"/>
    </row>
    <row r="50" spans="2:3" ht="15.75" customHeight="1" x14ac:dyDescent="0.3">
      <c r="B50" s="10"/>
      <c r="C50" s="2"/>
    </row>
    <row r="51" spans="2:3" ht="15.75" customHeight="1" x14ac:dyDescent="0.3">
      <c r="B51" s="10"/>
      <c r="C51" s="2"/>
    </row>
    <row r="52" spans="2:3" ht="15.75" customHeight="1" x14ac:dyDescent="0.3">
      <c r="B52" s="10"/>
      <c r="C52" s="2"/>
    </row>
    <row r="53" spans="2:3" ht="15.75" customHeight="1" x14ac:dyDescent="0.3">
      <c r="B53" s="10"/>
      <c r="C53" s="2"/>
    </row>
    <row r="54" spans="2:3" ht="15.75" customHeight="1" x14ac:dyDescent="0.3">
      <c r="B54" s="10"/>
      <c r="C54" s="2"/>
    </row>
    <row r="55" spans="2:3" ht="15.75" customHeight="1" x14ac:dyDescent="0.3">
      <c r="B55" s="10"/>
      <c r="C55" s="2"/>
    </row>
    <row r="56" spans="2:3" ht="15.75" customHeight="1" x14ac:dyDescent="0.3">
      <c r="B56" s="10"/>
      <c r="C56" s="2"/>
    </row>
    <row r="57" spans="2:3" ht="15.75" customHeight="1" x14ac:dyDescent="0.3">
      <c r="B57" s="10"/>
      <c r="C57" s="2"/>
    </row>
    <row r="58" spans="2:3" ht="15.75" customHeight="1" x14ac:dyDescent="0.3">
      <c r="B58" s="10"/>
      <c r="C58" s="2"/>
    </row>
    <row r="59" spans="2:3" ht="15.75" customHeight="1" x14ac:dyDescent="0.3">
      <c r="B59" s="10"/>
      <c r="C59" s="2"/>
    </row>
    <row r="60" spans="2:3" ht="15.75" customHeight="1" x14ac:dyDescent="0.3">
      <c r="B60" s="10"/>
      <c r="C60" s="2"/>
    </row>
    <row r="61" spans="2:3" ht="15.75" customHeight="1" x14ac:dyDescent="0.3">
      <c r="B61" s="10"/>
      <c r="C61" s="2"/>
    </row>
    <row r="62" spans="2:3" ht="15.75" customHeight="1" x14ac:dyDescent="0.3">
      <c r="B62" s="10"/>
      <c r="C62" s="2"/>
    </row>
    <row r="63" spans="2:3" ht="15.75" customHeight="1" x14ac:dyDescent="0.3">
      <c r="B63" s="10"/>
      <c r="C63" s="2"/>
    </row>
    <row r="64" spans="2:3" ht="15.75" customHeight="1" x14ac:dyDescent="0.3">
      <c r="B64" s="10"/>
      <c r="C64" s="2"/>
    </row>
    <row r="65" spans="2:3" ht="15.75" customHeight="1" x14ac:dyDescent="0.3">
      <c r="B65" s="10"/>
      <c r="C65" s="2"/>
    </row>
    <row r="66" spans="2:3" ht="15.75" customHeight="1" x14ac:dyDescent="0.3">
      <c r="B66" s="10"/>
      <c r="C66" s="2"/>
    </row>
    <row r="67" spans="2:3" ht="15.75" customHeight="1" x14ac:dyDescent="0.3">
      <c r="B67" s="10"/>
      <c r="C67" s="2"/>
    </row>
    <row r="68" spans="2:3" ht="15.75" customHeight="1" x14ac:dyDescent="0.3">
      <c r="B68" s="10"/>
      <c r="C68" s="2"/>
    </row>
    <row r="69" spans="2:3" ht="15.75" customHeight="1" x14ac:dyDescent="0.3">
      <c r="B69" s="10"/>
      <c r="C69" s="2"/>
    </row>
    <row r="70" spans="2:3" ht="15.75" customHeight="1" x14ac:dyDescent="0.3">
      <c r="B70" s="10"/>
      <c r="C70" s="2"/>
    </row>
    <row r="71" spans="2:3" ht="15.75" customHeight="1" x14ac:dyDescent="0.3">
      <c r="B71" s="10"/>
      <c r="C71" s="2"/>
    </row>
    <row r="72" spans="2:3" ht="15.75" customHeight="1" x14ac:dyDescent="0.3">
      <c r="B72" s="10"/>
      <c r="C72" s="2"/>
    </row>
    <row r="73" spans="2:3" ht="15.75" customHeight="1" x14ac:dyDescent="0.3">
      <c r="B73" s="10"/>
      <c r="C73" s="2"/>
    </row>
    <row r="74" spans="2:3" ht="15.75" customHeight="1" x14ac:dyDescent="0.3">
      <c r="B74" s="10"/>
      <c r="C74" s="2"/>
    </row>
    <row r="75" spans="2:3" ht="15.75" customHeight="1" x14ac:dyDescent="0.3">
      <c r="B75" s="10"/>
      <c r="C75" s="2"/>
    </row>
    <row r="76" spans="2:3" ht="15.75" customHeight="1" x14ac:dyDescent="0.3">
      <c r="B76" s="10"/>
      <c r="C76" s="2"/>
    </row>
    <row r="77" spans="2:3" ht="15.75" customHeight="1" x14ac:dyDescent="0.3">
      <c r="B77" s="10"/>
      <c r="C77" s="2"/>
    </row>
    <row r="78" spans="2:3" ht="15.75" customHeight="1" x14ac:dyDescent="0.3">
      <c r="B78" s="10"/>
      <c r="C78" s="2"/>
    </row>
    <row r="79" spans="2:3" ht="15.75" customHeight="1" x14ac:dyDescent="0.3">
      <c r="B79" s="10"/>
      <c r="C79" s="2"/>
    </row>
    <row r="80" spans="2:3" ht="15.75" customHeight="1" x14ac:dyDescent="0.3">
      <c r="B80" s="10"/>
      <c r="C80" s="2"/>
    </row>
    <row r="81" spans="2:3" ht="15.75" customHeight="1" x14ac:dyDescent="0.3">
      <c r="B81" s="10"/>
      <c r="C81" s="2"/>
    </row>
    <row r="82" spans="2:3" ht="15.75" customHeight="1" x14ac:dyDescent="0.3">
      <c r="B82" s="10"/>
      <c r="C82" s="2"/>
    </row>
    <row r="83" spans="2:3" ht="15.75" customHeight="1" x14ac:dyDescent="0.3">
      <c r="B83" s="10"/>
      <c r="C83" s="2"/>
    </row>
    <row r="84" spans="2:3" ht="15.75" customHeight="1" x14ac:dyDescent="0.3">
      <c r="B84" s="10"/>
      <c r="C84" s="2"/>
    </row>
    <row r="85" spans="2:3" ht="15.75" customHeight="1" x14ac:dyDescent="0.3">
      <c r="B85" s="10"/>
      <c r="C85" s="2"/>
    </row>
    <row r="86" spans="2:3" ht="15.75" customHeight="1" x14ac:dyDescent="0.3">
      <c r="B86" s="10"/>
      <c r="C86" s="2"/>
    </row>
    <row r="87" spans="2:3" ht="15.75" customHeight="1" x14ac:dyDescent="0.3">
      <c r="B87" s="10"/>
      <c r="C87" s="2"/>
    </row>
    <row r="88" spans="2:3" ht="15.75" customHeight="1" x14ac:dyDescent="0.3">
      <c r="B88" s="10"/>
      <c r="C88" s="2"/>
    </row>
    <row r="89" spans="2:3" ht="15.75" customHeight="1" x14ac:dyDescent="0.3">
      <c r="B89" s="10"/>
      <c r="C89" s="2"/>
    </row>
    <row r="90" spans="2:3" ht="15.75" customHeight="1" x14ac:dyDescent="0.3">
      <c r="B90" s="10"/>
      <c r="C90" s="2"/>
    </row>
    <row r="91" spans="2:3" ht="15.75" customHeight="1" x14ac:dyDescent="0.3">
      <c r="B91" s="10"/>
      <c r="C91" s="2"/>
    </row>
    <row r="92" spans="2:3" ht="15.75" customHeight="1" x14ac:dyDescent="0.3">
      <c r="B92" s="10"/>
      <c r="C92" s="2"/>
    </row>
    <row r="93" spans="2:3" ht="15.75" customHeight="1" x14ac:dyDescent="0.3">
      <c r="B93" s="10"/>
      <c r="C93" s="2"/>
    </row>
    <row r="94" spans="2:3" ht="15.75" customHeight="1" x14ac:dyDescent="0.3">
      <c r="B94" s="10"/>
      <c r="C94" s="2"/>
    </row>
    <row r="95" spans="2:3" ht="15.75" customHeight="1" x14ac:dyDescent="0.3">
      <c r="B95" s="10"/>
      <c r="C95" s="2"/>
    </row>
    <row r="96" spans="2:3" ht="15.75" customHeight="1" x14ac:dyDescent="0.3">
      <c r="B96" s="10"/>
      <c r="C96" s="2"/>
    </row>
    <row r="97" spans="2:3" ht="15.75" customHeight="1" x14ac:dyDescent="0.3">
      <c r="B97" s="10"/>
      <c r="C97" s="2"/>
    </row>
    <row r="98" spans="2:3" ht="15.75" customHeight="1" x14ac:dyDescent="0.3">
      <c r="B98" s="10"/>
      <c r="C98" s="2"/>
    </row>
    <row r="99" spans="2:3" ht="15.75" customHeight="1" x14ac:dyDescent="0.3">
      <c r="B99" s="10"/>
      <c r="C99" s="2"/>
    </row>
    <row r="100" spans="2:3" ht="15.75" customHeight="1" x14ac:dyDescent="0.3">
      <c r="B100" s="10"/>
      <c r="C100" s="2"/>
    </row>
    <row r="101" spans="2:3" ht="15.75" customHeight="1" x14ac:dyDescent="0.3">
      <c r="B101" s="10"/>
      <c r="C101" s="2"/>
    </row>
    <row r="102" spans="2:3" ht="15.75" customHeight="1" x14ac:dyDescent="0.3">
      <c r="B102" s="10"/>
      <c r="C102" s="2"/>
    </row>
    <row r="103" spans="2:3" ht="15.75" customHeight="1" x14ac:dyDescent="0.3">
      <c r="B103" s="10"/>
      <c r="C103" s="2"/>
    </row>
    <row r="104" spans="2:3" ht="15.75" customHeight="1" x14ac:dyDescent="0.3">
      <c r="B104" s="10"/>
      <c r="C104" s="2"/>
    </row>
    <row r="105" spans="2:3" ht="15.75" customHeight="1" x14ac:dyDescent="0.3">
      <c r="B105" s="10"/>
      <c r="C105" s="2"/>
    </row>
    <row r="106" spans="2:3" ht="15.75" customHeight="1" x14ac:dyDescent="0.3">
      <c r="B106" s="10"/>
      <c r="C106" s="2"/>
    </row>
    <row r="107" spans="2:3" ht="15.75" customHeight="1" x14ac:dyDescent="0.3">
      <c r="B107" s="10"/>
      <c r="C107" s="2"/>
    </row>
    <row r="108" spans="2:3" ht="15.75" customHeight="1" x14ac:dyDescent="0.3">
      <c r="B108" s="10"/>
      <c r="C108" s="2"/>
    </row>
    <row r="109" spans="2:3" ht="15.75" customHeight="1" x14ac:dyDescent="0.3">
      <c r="B109" s="10"/>
      <c r="C109" s="2"/>
    </row>
    <row r="110" spans="2:3" ht="15.75" customHeight="1" x14ac:dyDescent="0.3">
      <c r="B110" s="10"/>
      <c r="C110" s="2"/>
    </row>
    <row r="111" spans="2:3" ht="15.75" customHeight="1" x14ac:dyDescent="0.3">
      <c r="B111" s="10"/>
      <c r="C111" s="2"/>
    </row>
    <row r="112" spans="2:3" ht="15.75" customHeight="1" x14ac:dyDescent="0.3">
      <c r="B112" s="10"/>
      <c r="C112" s="2"/>
    </row>
    <row r="113" spans="2:3" ht="15.75" customHeight="1" x14ac:dyDescent="0.3">
      <c r="B113" s="10"/>
      <c r="C113" s="2"/>
    </row>
    <row r="114" spans="2:3" ht="15.75" customHeight="1" x14ac:dyDescent="0.3">
      <c r="B114" s="10"/>
      <c r="C114" s="2"/>
    </row>
    <row r="115" spans="2:3" ht="15.75" customHeight="1" x14ac:dyDescent="0.3">
      <c r="B115" s="10"/>
      <c r="C115" s="2"/>
    </row>
    <row r="116" spans="2:3" ht="15.75" customHeight="1" x14ac:dyDescent="0.3">
      <c r="B116" s="10"/>
      <c r="C116" s="2"/>
    </row>
    <row r="117" spans="2:3" ht="15.75" customHeight="1" x14ac:dyDescent="0.3">
      <c r="B117" s="10"/>
      <c r="C117" s="2"/>
    </row>
    <row r="118" spans="2:3" ht="15.75" customHeight="1" x14ac:dyDescent="0.3">
      <c r="B118" s="10"/>
      <c r="C118" s="2"/>
    </row>
    <row r="119" spans="2:3" ht="15.75" customHeight="1" x14ac:dyDescent="0.3">
      <c r="B119" s="10"/>
      <c r="C119" s="2"/>
    </row>
    <row r="120" spans="2:3" ht="15.75" customHeight="1" x14ac:dyDescent="0.3">
      <c r="B120" s="10"/>
      <c r="C120" s="2"/>
    </row>
    <row r="121" spans="2:3" ht="15.75" customHeight="1" x14ac:dyDescent="0.3">
      <c r="B121" s="10"/>
      <c r="C121" s="2"/>
    </row>
    <row r="122" spans="2:3" ht="15.75" customHeight="1" x14ac:dyDescent="0.3">
      <c r="B122" s="10"/>
      <c r="C122" s="2"/>
    </row>
    <row r="123" spans="2:3" ht="15.75" customHeight="1" x14ac:dyDescent="0.3">
      <c r="B123" s="10"/>
      <c r="C123" s="2"/>
    </row>
    <row r="124" spans="2:3" ht="15.75" customHeight="1" x14ac:dyDescent="0.3">
      <c r="B124" s="10"/>
      <c r="C124" s="2"/>
    </row>
    <row r="125" spans="2:3" ht="15.75" customHeight="1" x14ac:dyDescent="0.3">
      <c r="B125" s="10"/>
      <c r="C125" s="2"/>
    </row>
    <row r="126" spans="2:3" ht="15.75" customHeight="1" x14ac:dyDescent="0.3">
      <c r="B126" s="10"/>
      <c r="C126" s="2"/>
    </row>
    <row r="127" spans="2:3" ht="15.75" customHeight="1" x14ac:dyDescent="0.3">
      <c r="B127" s="10"/>
      <c r="C127" s="2"/>
    </row>
    <row r="128" spans="2:3" ht="15.75" customHeight="1" x14ac:dyDescent="0.3">
      <c r="B128" s="10"/>
      <c r="C128" s="2"/>
    </row>
    <row r="129" spans="2:3" ht="15.75" customHeight="1" x14ac:dyDescent="0.3">
      <c r="B129" s="10"/>
      <c r="C129" s="2"/>
    </row>
    <row r="130" spans="2:3" ht="15.75" customHeight="1" x14ac:dyDescent="0.3">
      <c r="B130" s="10"/>
      <c r="C130" s="2"/>
    </row>
    <row r="131" spans="2:3" ht="15.75" customHeight="1" x14ac:dyDescent="0.3">
      <c r="B131" s="10"/>
      <c r="C131" s="2"/>
    </row>
    <row r="132" spans="2:3" ht="15.75" customHeight="1" x14ac:dyDescent="0.3">
      <c r="B132" s="10"/>
      <c r="C132" s="2"/>
    </row>
    <row r="133" spans="2:3" ht="15.75" customHeight="1" x14ac:dyDescent="0.3">
      <c r="B133" s="10"/>
      <c r="C133" s="2"/>
    </row>
    <row r="134" spans="2:3" ht="15.75" customHeight="1" x14ac:dyDescent="0.3">
      <c r="B134" s="10"/>
      <c r="C134" s="2"/>
    </row>
    <row r="135" spans="2:3" ht="15.75" customHeight="1" x14ac:dyDescent="0.3">
      <c r="B135" s="10"/>
      <c r="C135" s="2"/>
    </row>
    <row r="136" spans="2:3" ht="15.75" customHeight="1" x14ac:dyDescent="0.3">
      <c r="B136" s="10"/>
      <c r="C136" s="2"/>
    </row>
    <row r="137" spans="2:3" ht="15.75" customHeight="1" x14ac:dyDescent="0.3">
      <c r="B137" s="10"/>
      <c r="C137" s="2"/>
    </row>
    <row r="138" spans="2:3" ht="15.75" customHeight="1" x14ac:dyDescent="0.3">
      <c r="B138" s="10"/>
      <c r="C138" s="2"/>
    </row>
    <row r="139" spans="2:3" ht="15.75" customHeight="1" x14ac:dyDescent="0.3">
      <c r="B139" s="10"/>
      <c r="C139" s="2"/>
    </row>
    <row r="140" spans="2:3" ht="15.75" customHeight="1" x14ac:dyDescent="0.3">
      <c r="B140" s="10"/>
      <c r="C140" s="2"/>
    </row>
    <row r="141" spans="2:3" ht="15.75" customHeight="1" x14ac:dyDescent="0.3">
      <c r="B141" s="10"/>
      <c r="C141" s="2"/>
    </row>
    <row r="142" spans="2:3" ht="15.75" customHeight="1" x14ac:dyDescent="0.3">
      <c r="B142" s="10"/>
      <c r="C142" s="2"/>
    </row>
    <row r="143" spans="2:3" ht="15.75" customHeight="1" x14ac:dyDescent="0.3">
      <c r="B143" s="10"/>
      <c r="C143" s="2"/>
    </row>
    <row r="144" spans="2:3" ht="15.75" customHeight="1" x14ac:dyDescent="0.3">
      <c r="B144" s="10"/>
      <c r="C144" s="2"/>
    </row>
    <row r="145" spans="2:3" ht="15.75" customHeight="1" x14ac:dyDescent="0.3">
      <c r="B145" s="10"/>
      <c r="C145" s="2"/>
    </row>
    <row r="146" spans="2:3" ht="15.75" customHeight="1" x14ac:dyDescent="0.3">
      <c r="B146" s="10"/>
      <c r="C146" s="2"/>
    </row>
    <row r="147" spans="2:3" ht="15.75" customHeight="1" x14ac:dyDescent="0.3">
      <c r="B147" s="10"/>
      <c r="C147" s="2"/>
    </row>
    <row r="148" spans="2:3" ht="15.75" customHeight="1" x14ac:dyDescent="0.3">
      <c r="B148" s="10"/>
      <c r="C148" s="2"/>
    </row>
    <row r="149" spans="2:3" ht="15.75" customHeight="1" x14ac:dyDescent="0.3">
      <c r="B149" s="10"/>
      <c r="C149" s="2"/>
    </row>
    <row r="150" spans="2:3" ht="15.75" customHeight="1" x14ac:dyDescent="0.3">
      <c r="B150" s="10"/>
      <c r="C150" s="2"/>
    </row>
    <row r="151" spans="2:3" ht="15.75" customHeight="1" x14ac:dyDescent="0.3">
      <c r="B151" s="10"/>
      <c r="C151" s="2"/>
    </row>
    <row r="152" spans="2:3" ht="15.75" customHeight="1" x14ac:dyDescent="0.3">
      <c r="B152" s="10"/>
      <c r="C152" s="2"/>
    </row>
    <row r="153" spans="2:3" ht="15.75" customHeight="1" x14ac:dyDescent="0.3">
      <c r="B153" s="10"/>
      <c r="C153" s="2"/>
    </row>
    <row r="154" spans="2:3" ht="15.75" customHeight="1" x14ac:dyDescent="0.3">
      <c r="B154" s="10"/>
      <c r="C154" s="2"/>
    </row>
    <row r="155" spans="2:3" ht="15.75" customHeight="1" x14ac:dyDescent="0.3">
      <c r="B155" s="10"/>
      <c r="C155" s="2"/>
    </row>
    <row r="156" spans="2:3" ht="15.75" customHeight="1" x14ac:dyDescent="0.3">
      <c r="B156" s="10"/>
      <c r="C156" s="2"/>
    </row>
    <row r="157" spans="2:3" ht="15.75" customHeight="1" x14ac:dyDescent="0.3">
      <c r="B157" s="10"/>
      <c r="C157" s="2"/>
    </row>
    <row r="158" spans="2:3" ht="15.75" customHeight="1" x14ac:dyDescent="0.3">
      <c r="B158" s="10"/>
      <c r="C158" s="2"/>
    </row>
    <row r="159" spans="2:3" ht="15.75" customHeight="1" x14ac:dyDescent="0.3">
      <c r="B159" s="10"/>
      <c r="C159" s="2"/>
    </row>
    <row r="160" spans="2:3" ht="15.75" customHeight="1" x14ac:dyDescent="0.3">
      <c r="B160" s="10"/>
      <c r="C160" s="2"/>
    </row>
    <row r="161" spans="2:3" ht="15.75" customHeight="1" x14ac:dyDescent="0.3">
      <c r="B161" s="10"/>
      <c r="C161" s="2"/>
    </row>
    <row r="162" spans="2:3" ht="15.75" customHeight="1" x14ac:dyDescent="0.3">
      <c r="B162" s="10"/>
      <c r="C162" s="2"/>
    </row>
    <row r="163" spans="2:3" ht="15.75" customHeight="1" x14ac:dyDescent="0.3">
      <c r="B163" s="10"/>
      <c r="C163" s="2"/>
    </row>
    <row r="164" spans="2:3" ht="15.75" customHeight="1" x14ac:dyDescent="0.3">
      <c r="B164" s="10"/>
      <c r="C164" s="2"/>
    </row>
    <row r="165" spans="2:3" ht="15.75" customHeight="1" x14ac:dyDescent="0.3">
      <c r="B165" s="10"/>
      <c r="C165" s="2"/>
    </row>
    <row r="166" spans="2:3" ht="15.75" customHeight="1" x14ac:dyDescent="0.3">
      <c r="B166" s="10"/>
      <c r="C166" s="2"/>
    </row>
    <row r="167" spans="2:3" ht="15.75" customHeight="1" x14ac:dyDescent="0.3">
      <c r="B167" s="10"/>
      <c r="C167" s="2"/>
    </row>
    <row r="168" spans="2:3" ht="15.75" customHeight="1" x14ac:dyDescent="0.3">
      <c r="B168" s="10"/>
      <c r="C168" s="2"/>
    </row>
    <row r="169" spans="2:3" ht="15.75" customHeight="1" x14ac:dyDescent="0.3">
      <c r="B169" s="10"/>
      <c r="C169" s="2"/>
    </row>
    <row r="170" spans="2:3" ht="15.75" customHeight="1" x14ac:dyDescent="0.3">
      <c r="B170" s="10"/>
      <c r="C170" s="2"/>
    </row>
    <row r="171" spans="2:3" ht="15.75" customHeight="1" x14ac:dyDescent="0.3">
      <c r="B171" s="10"/>
      <c r="C171" s="2"/>
    </row>
    <row r="172" spans="2:3" ht="15.75" customHeight="1" x14ac:dyDescent="0.3">
      <c r="B172" s="10"/>
      <c r="C172" s="2"/>
    </row>
    <row r="173" spans="2:3" ht="15.75" customHeight="1" x14ac:dyDescent="0.3">
      <c r="B173" s="10"/>
      <c r="C173" s="2"/>
    </row>
    <row r="174" spans="2:3" ht="15.75" customHeight="1" x14ac:dyDescent="0.3">
      <c r="B174" s="10"/>
      <c r="C174" s="2"/>
    </row>
    <row r="175" spans="2:3" ht="15.75" customHeight="1" x14ac:dyDescent="0.3">
      <c r="B175" s="10"/>
      <c r="C175" s="2"/>
    </row>
    <row r="176" spans="2:3" ht="15.75" customHeight="1" x14ac:dyDescent="0.3">
      <c r="B176" s="10"/>
      <c r="C176" s="2"/>
    </row>
    <row r="177" spans="2:3" ht="15.75" customHeight="1" x14ac:dyDescent="0.3">
      <c r="B177" s="10"/>
      <c r="C177" s="2"/>
    </row>
    <row r="178" spans="2:3" ht="15.75" customHeight="1" x14ac:dyDescent="0.3">
      <c r="B178" s="10"/>
      <c r="C178" s="2"/>
    </row>
    <row r="179" spans="2:3" ht="15.75" customHeight="1" x14ac:dyDescent="0.3">
      <c r="B179" s="10"/>
      <c r="C179" s="2"/>
    </row>
    <row r="180" spans="2:3" ht="15.75" customHeight="1" x14ac:dyDescent="0.3">
      <c r="B180" s="10"/>
      <c r="C180" s="2"/>
    </row>
    <row r="181" spans="2:3" ht="15.75" customHeight="1" x14ac:dyDescent="0.3">
      <c r="B181" s="10"/>
      <c r="C181" s="2"/>
    </row>
    <row r="182" spans="2:3" ht="15.75" customHeight="1" x14ac:dyDescent="0.3">
      <c r="B182" s="10"/>
      <c r="C182" s="2"/>
    </row>
    <row r="183" spans="2:3" ht="15.75" customHeight="1" x14ac:dyDescent="0.3">
      <c r="B183" s="10"/>
      <c r="C183" s="2"/>
    </row>
    <row r="184" spans="2:3" ht="15.75" customHeight="1" x14ac:dyDescent="0.3">
      <c r="B184" s="10"/>
      <c r="C184" s="2"/>
    </row>
    <row r="185" spans="2:3" ht="15.75" customHeight="1" x14ac:dyDescent="0.3">
      <c r="B185" s="10"/>
      <c r="C185" s="2"/>
    </row>
    <row r="186" spans="2:3" ht="15.75" customHeight="1" x14ac:dyDescent="0.3">
      <c r="B186" s="10"/>
      <c r="C186" s="2"/>
    </row>
    <row r="187" spans="2:3" ht="15.75" customHeight="1" x14ac:dyDescent="0.3">
      <c r="B187" s="10"/>
      <c r="C187" s="2"/>
    </row>
    <row r="188" spans="2:3" ht="15.75" customHeight="1" x14ac:dyDescent="0.3">
      <c r="B188" s="10"/>
      <c r="C188" s="2"/>
    </row>
    <row r="189" spans="2:3" ht="15.75" customHeight="1" x14ac:dyDescent="0.3">
      <c r="B189" s="10"/>
      <c r="C189" s="2"/>
    </row>
    <row r="190" spans="2:3" ht="15.75" customHeight="1" x14ac:dyDescent="0.3">
      <c r="B190" s="10"/>
      <c r="C190" s="2"/>
    </row>
    <row r="191" spans="2:3" ht="15.75" customHeight="1" x14ac:dyDescent="0.3">
      <c r="B191" s="10"/>
      <c r="C191" s="2"/>
    </row>
    <row r="192" spans="2:3" ht="15.75" customHeight="1" x14ac:dyDescent="0.3">
      <c r="B192" s="10"/>
      <c r="C192" s="2"/>
    </row>
    <row r="193" spans="2:3" ht="15.75" customHeight="1" x14ac:dyDescent="0.3">
      <c r="B193" s="10"/>
      <c r="C193" s="2"/>
    </row>
    <row r="194" spans="2:3" ht="15.75" customHeight="1" x14ac:dyDescent="0.3">
      <c r="B194" s="10"/>
      <c r="C194" s="2"/>
    </row>
    <row r="195" spans="2:3" ht="15.75" customHeight="1" x14ac:dyDescent="0.3">
      <c r="B195" s="10"/>
      <c r="C195" s="2"/>
    </row>
    <row r="196" spans="2:3" ht="15.75" customHeight="1" x14ac:dyDescent="0.3">
      <c r="B196" s="10"/>
      <c r="C196" s="2"/>
    </row>
    <row r="197" spans="2:3" ht="15.75" customHeight="1" x14ac:dyDescent="0.3">
      <c r="B197" s="10"/>
      <c r="C197" s="2"/>
    </row>
    <row r="198" spans="2:3" ht="15.75" customHeight="1" x14ac:dyDescent="0.3">
      <c r="B198" s="10"/>
      <c r="C198" s="2"/>
    </row>
    <row r="199" spans="2:3" ht="15.75" customHeight="1" x14ac:dyDescent="0.3">
      <c r="B199" s="10"/>
      <c r="C199" s="2"/>
    </row>
    <row r="200" spans="2:3" ht="15.75" customHeight="1" x14ac:dyDescent="0.3">
      <c r="B200" s="10"/>
      <c r="C200" s="2"/>
    </row>
    <row r="201" spans="2:3" ht="15.75" customHeight="1" x14ac:dyDescent="0.3">
      <c r="B201" s="10"/>
      <c r="C201" s="2"/>
    </row>
    <row r="202" spans="2:3" ht="15.75" customHeight="1" x14ac:dyDescent="0.3">
      <c r="B202" s="10"/>
      <c r="C202" s="2"/>
    </row>
    <row r="203" spans="2:3" ht="15.75" customHeight="1" x14ac:dyDescent="0.3">
      <c r="B203" s="10"/>
      <c r="C203" s="2"/>
    </row>
    <row r="204" spans="2:3" ht="15.75" customHeight="1" x14ac:dyDescent="0.3">
      <c r="B204" s="10"/>
      <c r="C204" s="2"/>
    </row>
    <row r="205" spans="2:3" ht="15.75" customHeight="1" x14ac:dyDescent="0.3">
      <c r="B205" s="10"/>
      <c r="C205" s="2"/>
    </row>
    <row r="206" spans="2:3" ht="15.75" customHeight="1" x14ac:dyDescent="0.3">
      <c r="B206" s="10"/>
      <c r="C206" s="2"/>
    </row>
    <row r="207" spans="2:3" ht="15.75" customHeight="1" x14ac:dyDescent="0.3">
      <c r="B207" s="10"/>
      <c r="C207" s="2"/>
    </row>
    <row r="208" spans="2:3" ht="15.75" customHeight="1" x14ac:dyDescent="0.3">
      <c r="B208" s="10"/>
      <c r="C208" s="2"/>
    </row>
    <row r="209" spans="2:3" ht="15.75" customHeight="1" x14ac:dyDescent="0.3">
      <c r="B209" s="10"/>
      <c r="C209" s="2"/>
    </row>
    <row r="210" spans="2:3" ht="15.75" customHeight="1" x14ac:dyDescent="0.3">
      <c r="B210" s="10"/>
      <c r="C210" s="2"/>
    </row>
    <row r="211" spans="2:3" ht="15.75" customHeight="1" x14ac:dyDescent="0.3">
      <c r="B211" s="10"/>
      <c r="C211" s="2"/>
    </row>
    <row r="212" spans="2:3" ht="15.75" customHeight="1" x14ac:dyDescent="0.3">
      <c r="B212" s="10"/>
      <c r="C212" s="2"/>
    </row>
    <row r="213" spans="2:3" ht="15.75" customHeight="1" x14ac:dyDescent="0.3">
      <c r="B213" s="10"/>
      <c r="C213" s="2"/>
    </row>
    <row r="214" spans="2:3" ht="15.75" customHeight="1" x14ac:dyDescent="0.3">
      <c r="B214" s="10"/>
      <c r="C214" s="2"/>
    </row>
    <row r="215" spans="2:3" ht="15.75" customHeight="1" x14ac:dyDescent="0.3">
      <c r="B215" s="10"/>
      <c r="C215" s="2"/>
    </row>
    <row r="216" spans="2:3" ht="15.75" customHeight="1" x14ac:dyDescent="0.3">
      <c r="B216" s="10"/>
      <c r="C216" s="2"/>
    </row>
    <row r="217" spans="2:3" ht="15.75" customHeight="1" x14ac:dyDescent="0.3">
      <c r="B217" s="10"/>
      <c r="C217" s="2"/>
    </row>
    <row r="218" spans="2:3" ht="15.75" customHeight="1" x14ac:dyDescent="0.3">
      <c r="B218" s="10"/>
      <c r="C218" s="2"/>
    </row>
    <row r="219" spans="2:3" ht="15.75" customHeight="1" x14ac:dyDescent="0.3">
      <c r="B219" s="10"/>
      <c r="C219" s="2"/>
    </row>
    <row r="220" spans="2:3" ht="15.75" customHeight="1" x14ac:dyDescent="0.3">
      <c r="B220" s="10"/>
      <c r="C220" s="2"/>
    </row>
    <row r="221" spans="2:3" ht="15.75" customHeight="1" x14ac:dyDescent="0.3">
      <c r="B221" s="10"/>
      <c r="C221" s="2"/>
    </row>
    <row r="222" spans="2:3" ht="15.75" customHeight="1" x14ac:dyDescent="0.3">
      <c r="B222" s="10"/>
      <c r="C222" s="2"/>
    </row>
    <row r="223" spans="2:3" ht="15.75" customHeight="1" x14ac:dyDescent="0.3">
      <c r="B223" s="10"/>
      <c r="C223" s="2"/>
    </row>
    <row r="224" spans="2:3" ht="15.75" customHeight="1" x14ac:dyDescent="0.3">
      <c r="B224" s="10"/>
      <c r="C224" s="2"/>
    </row>
    <row r="225" spans="2:3" ht="15.75" customHeight="1" x14ac:dyDescent="0.3">
      <c r="B225" s="10"/>
      <c r="C225" s="2"/>
    </row>
    <row r="226" spans="2:3" ht="15.75" customHeight="1" x14ac:dyDescent="0.3">
      <c r="B226" s="10"/>
      <c r="C226" s="2"/>
    </row>
    <row r="227" spans="2:3" ht="15.75" customHeight="1" x14ac:dyDescent="0.3">
      <c r="B227" s="10"/>
      <c r="C227" s="2"/>
    </row>
    <row r="228" spans="2:3" ht="15.75" customHeight="1" x14ac:dyDescent="0.3">
      <c r="B228" s="10"/>
      <c r="C228" s="2"/>
    </row>
    <row r="229" spans="2:3" ht="15.75" customHeight="1" x14ac:dyDescent="0.3">
      <c r="B229" s="10"/>
      <c r="C229" s="2"/>
    </row>
    <row r="230" spans="2:3" ht="15.75" customHeight="1" x14ac:dyDescent="0.3">
      <c r="B230" s="10"/>
      <c r="C230" s="2"/>
    </row>
    <row r="231" spans="2:3" ht="15.75" customHeight="1" x14ac:dyDescent="0.3">
      <c r="B231" s="10"/>
      <c r="C231" s="2"/>
    </row>
    <row r="232" spans="2:3" ht="15.75" customHeight="1" x14ac:dyDescent="0.3">
      <c r="B232" s="10"/>
      <c r="C232" s="2"/>
    </row>
    <row r="233" spans="2:3" ht="15.75" customHeight="1" x14ac:dyDescent="0.3">
      <c r="B233" s="10"/>
      <c r="C233" s="2"/>
    </row>
    <row r="234" spans="2:3" ht="15.75" customHeight="1" x14ac:dyDescent="0.3">
      <c r="B234" s="10"/>
      <c r="C234" s="2"/>
    </row>
    <row r="235" spans="2:3" ht="15.75" customHeight="1" x14ac:dyDescent="0.3">
      <c r="B235" s="10"/>
      <c r="C235" s="2"/>
    </row>
    <row r="236" spans="2:3" ht="15.75" customHeight="1" x14ac:dyDescent="0.3">
      <c r="B236" s="10"/>
      <c r="C236" s="2"/>
    </row>
    <row r="237" spans="2:3" ht="15.75" customHeight="1" x14ac:dyDescent="0.3">
      <c r="B237" s="10"/>
      <c r="C237" s="2"/>
    </row>
    <row r="238" spans="2:3" ht="15.75" customHeight="1" x14ac:dyDescent="0.3">
      <c r="B238" s="10"/>
      <c r="C238" s="2"/>
    </row>
    <row r="239" spans="2:3" ht="15.75" customHeight="1" x14ac:dyDescent="0.3">
      <c r="B239" s="10"/>
      <c r="C239" s="2"/>
    </row>
    <row r="240" spans="2:3" ht="15.75" customHeight="1" x14ac:dyDescent="0.3">
      <c r="B240" s="10"/>
      <c r="C240" s="2"/>
    </row>
    <row r="241" spans="2:3" ht="15.75" customHeight="1" x14ac:dyDescent="0.3">
      <c r="B241" s="10"/>
      <c r="C241" s="2"/>
    </row>
    <row r="242" spans="2:3" ht="15.75" customHeight="1" x14ac:dyDescent="0.3">
      <c r="B242" s="10"/>
      <c r="C242" s="2"/>
    </row>
    <row r="243" spans="2:3" ht="15.75" customHeight="1" x14ac:dyDescent="0.3">
      <c r="B243" s="10"/>
      <c r="C243" s="2"/>
    </row>
    <row r="244" spans="2:3" ht="15.75" customHeight="1" x14ac:dyDescent="0.3">
      <c r="B244" s="10"/>
      <c r="C244" s="2"/>
    </row>
    <row r="245" spans="2:3" ht="15.75" customHeight="1" x14ac:dyDescent="0.3">
      <c r="B245" s="10"/>
      <c r="C245" s="2"/>
    </row>
    <row r="246" spans="2:3" ht="15.75" customHeight="1" x14ac:dyDescent="0.3">
      <c r="B246" s="10"/>
      <c r="C246" s="2"/>
    </row>
    <row r="247" spans="2:3" ht="15.75" customHeight="1" x14ac:dyDescent="0.3">
      <c r="B247" s="10"/>
      <c r="C247" s="2"/>
    </row>
    <row r="248" spans="2:3" ht="15.75" customHeight="1" x14ac:dyDescent="0.3">
      <c r="B248" s="10"/>
      <c r="C248" s="2"/>
    </row>
    <row r="249" spans="2:3" ht="15.75" customHeight="1" x14ac:dyDescent="0.3">
      <c r="B249" s="10"/>
      <c r="C249" s="2"/>
    </row>
    <row r="250" spans="2:3" ht="15.75" customHeight="1" x14ac:dyDescent="0.3">
      <c r="B250" s="10"/>
      <c r="C250" s="2"/>
    </row>
    <row r="251" spans="2:3" ht="15.75" customHeight="1" x14ac:dyDescent="0.3">
      <c r="B251" s="10"/>
      <c r="C251" s="2"/>
    </row>
    <row r="252" spans="2:3" ht="15.75" customHeight="1" x14ac:dyDescent="0.3">
      <c r="B252" s="10"/>
      <c r="C252" s="2"/>
    </row>
    <row r="253" spans="2:3" ht="15.75" customHeight="1" x14ac:dyDescent="0.3">
      <c r="B253" s="10"/>
      <c r="C253" s="2"/>
    </row>
    <row r="254" spans="2:3" ht="15.75" customHeight="1" x14ac:dyDescent="0.3">
      <c r="B254" s="10"/>
      <c r="C254" s="2"/>
    </row>
    <row r="255" spans="2:3" ht="15.75" customHeight="1" x14ac:dyDescent="0.3">
      <c r="B255" s="10"/>
      <c r="C255" s="2"/>
    </row>
    <row r="256" spans="2:3" ht="15.75" customHeight="1" x14ac:dyDescent="0.3">
      <c r="B256" s="10"/>
      <c r="C256" s="2"/>
    </row>
    <row r="257" spans="2:3" ht="15.75" customHeight="1" x14ac:dyDescent="0.3">
      <c r="B257" s="10"/>
      <c r="C257" s="2"/>
    </row>
    <row r="258" spans="2:3" ht="15.75" customHeight="1" x14ac:dyDescent="0.3">
      <c r="B258" s="10"/>
      <c r="C258" s="2"/>
    </row>
    <row r="259" spans="2:3" ht="15.75" customHeight="1" x14ac:dyDescent="0.3">
      <c r="B259" s="10"/>
      <c r="C259" s="2"/>
    </row>
    <row r="260" spans="2:3" ht="15.75" customHeight="1" x14ac:dyDescent="0.3">
      <c r="B260" s="10"/>
      <c r="C260" s="2"/>
    </row>
    <row r="261" spans="2:3" ht="15.75" customHeight="1" x14ac:dyDescent="0.3">
      <c r="B261" s="10"/>
      <c r="C261" s="2"/>
    </row>
    <row r="262" spans="2:3" ht="15.75" customHeight="1" x14ac:dyDescent="0.3">
      <c r="B262" s="10"/>
      <c r="C262" s="2"/>
    </row>
    <row r="263" spans="2:3" ht="15.75" customHeight="1" x14ac:dyDescent="0.3">
      <c r="B263" s="10"/>
      <c r="C263" s="2"/>
    </row>
    <row r="264" spans="2:3" ht="15.75" customHeight="1" x14ac:dyDescent="0.3">
      <c r="B264" s="10"/>
      <c r="C264" s="2"/>
    </row>
    <row r="265" spans="2:3" ht="15.75" customHeight="1" x14ac:dyDescent="0.3">
      <c r="B265" s="10"/>
      <c r="C265" s="2"/>
    </row>
    <row r="266" spans="2:3" ht="15.75" customHeight="1" x14ac:dyDescent="0.3">
      <c r="B266" s="10"/>
      <c r="C266" s="2"/>
    </row>
    <row r="267" spans="2:3" ht="15.75" customHeight="1" x14ac:dyDescent="0.3">
      <c r="B267" s="10"/>
      <c r="C267" s="2"/>
    </row>
    <row r="268" spans="2:3" ht="15.75" customHeight="1" x14ac:dyDescent="0.3">
      <c r="B268" s="10"/>
      <c r="C268" s="2"/>
    </row>
    <row r="269" spans="2:3" ht="15.75" customHeight="1" x14ac:dyDescent="0.3">
      <c r="B269" s="10"/>
      <c r="C269" s="2"/>
    </row>
    <row r="270" spans="2:3" ht="15.75" customHeight="1" x14ac:dyDescent="0.3">
      <c r="B270" s="10"/>
      <c r="C270" s="2"/>
    </row>
    <row r="271" spans="2:3" ht="15.75" customHeight="1" x14ac:dyDescent="0.3">
      <c r="B271" s="10"/>
      <c r="C271" s="2"/>
    </row>
    <row r="272" spans="2:3" ht="15.75" customHeight="1" x14ac:dyDescent="0.3">
      <c r="B272" s="10"/>
      <c r="C272" s="2"/>
    </row>
    <row r="273" spans="2:3" ht="15.75" customHeight="1" x14ac:dyDescent="0.3">
      <c r="B273" s="10"/>
      <c r="C273" s="2"/>
    </row>
    <row r="274" spans="2:3" ht="15.75" customHeight="1" x14ac:dyDescent="0.3">
      <c r="B274" s="10"/>
      <c r="C274" s="2"/>
    </row>
    <row r="275" spans="2:3" ht="15.75" customHeight="1" x14ac:dyDescent="0.3">
      <c r="B275" s="10"/>
      <c r="C275" s="2"/>
    </row>
    <row r="276" spans="2:3" ht="15.75" customHeight="1" x14ac:dyDescent="0.3">
      <c r="B276" s="10"/>
      <c r="C276" s="2"/>
    </row>
    <row r="277" spans="2:3" ht="15.75" customHeight="1" x14ac:dyDescent="0.3">
      <c r="B277" s="10"/>
      <c r="C277" s="2"/>
    </row>
    <row r="278" spans="2:3" ht="15.75" customHeight="1" x14ac:dyDescent="0.3">
      <c r="B278" s="10"/>
      <c r="C278" s="2"/>
    </row>
    <row r="279" spans="2:3" ht="15.75" customHeight="1" x14ac:dyDescent="0.3">
      <c r="B279" s="10"/>
      <c r="C279" s="2"/>
    </row>
    <row r="280" spans="2:3" ht="15.75" customHeight="1" x14ac:dyDescent="0.3">
      <c r="B280" s="10"/>
      <c r="C280" s="2"/>
    </row>
    <row r="281" spans="2:3" ht="15.75" customHeight="1" x14ac:dyDescent="0.3">
      <c r="B281" s="10"/>
      <c r="C281" s="2"/>
    </row>
    <row r="282" spans="2:3" ht="15.75" customHeight="1" x14ac:dyDescent="0.3">
      <c r="B282" s="10"/>
      <c r="C282" s="2"/>
    </row>
    <row r="283" spans="2:3" ht="15.75" customHeight="1" x14ac:dyDescent="0.3">
      <c r="B283" s="10"/>
      <c r="C283" s="2"/>
    </row>
    <row r="284" spans="2:3" ht="15.75" customHeight="1" x14ac:dyDescent="0.3">
      <c r="B284" s="10"/>
      <c r="C284" s="2"/>
    </row>
    <row r="285" spans="2:3" ht="15.75" customHeight="1" x14ac:dyDescent="0.3">
      <c r="B285" s="10"/>
      <c r="C285" s="2"/>
    </row>
    <row r="286" spans="2:3" ht="15.75" customHeight="1" x14ac:dyDescent="0.3">
      <c r="B286" s="10"/>
      <c r="C286" s="2"/>
    </row>
    <row r="287" spans="2:3" ht="15.75" customHeight="1" x14ac:dyDescent="0.3">
      <c r="B287" s="10"/>
      <c r="C287" s="2"/>
    </row>
    <row r="288" spans="2:3" ht="15.75" customHeight="1" x14ac:dyDescent="0.3">
      <c r="B288" s="10"/>
      <c r="C288" s="2"/>
    </row>
    <row r="289" spans="2:3" ht="15.75" customHeight="1" x14ac:dyDescent="0.3">
      <c r="B289" s="10"/>
      <c r="C289" s="2"/>
    </row>
    <row r="290" spans="2:3" ht="15.75" customHeight="1" x14ac:dyDescent="0.3">
      <c r="B290" s="10"/>
      <c r="C290" s="2"/>
    </row>
    <row r="291" spans="2:3" ht="15.75" customHeight="1" x14ac:dyDescent="0.3">
      <c r="B291" s="10"/>
      <c r="C291" s="2"/>
    </row>
    <row r="292" spans="2:3" ht="15.75" customHeight="1" x14ac:dyDescent="0.3">
      <c r="B292" s="10"/>
      <c r="C292" s="2"/>
    </row>
    <row r="293" spans="2:3" ht="15.75" customHeight="1" x14ac:dyDescent="0.3">
      <c r="B293" s="10"/>
      <c r="C293" s="2"/>
    </row>
    <row r="294" spans="2:3" ht="15.75" customHeight="1" x14ac:dyDescent="0.3">
      <c r="B294" s="10"/>
      <c r="C294" s="2"/>
    </row>
    <row r="295" spans="2:3" ht="15.75" customHeight="1" x14ac:dyDescent="0.3">
      <c r="B295" s="10"/>
      <c r="C295" s="2"/>
    </row>
    <row r="296" spans="2:3" ht="15.75" customHeight="1" x14ac:dyDescent="0.3">
      <c r="B296" s="10"/>
      <c r="C296" s="2"/>
    </row>
    <row r="297" spans="2:3" ht="15.75" customHeight="1" x14ac:dyDescent="0.3">
      <c r="B297" s="10"/>
      <c r="C297" s="2"/>
    </row>
    <row r="298" spans="2:3" ht="15.75" customHeight="1" x14ac:dyDescent="0.3">
      <c r="B298" s="10"/>
      <c r="C298" s="2"/>
    </row>
    <row r="299" spans="2:3" ht="15.75" customHeight="1" x14ac:dyDescent="0.3">
      <c r="B299" s="10"/>
      <c r="C299" s="2"/>
    </row>
    <row r="300" spans="2:3" ht="15.75" customHeight="1" x14ac:dyDescent="0.3">
      <c r="B300" s="10"/>
      <c r="C300" s="2"/>
    </row>
    <row r="301" spans="2:3" ht="15.75" customHeight="1" x14ac:dyDescent="0.3">
      <c r="B301" s="10"/>
      <c r="C301" s="2"/>
    </row>
    <row r="302" spans="2:3" ht="15.75" customHeight="1" x14ac:dyDescent="0.3">
      <c r="B302" s="10"/>
      <c r="C302" s="2"/>
    </row>
    <row r="303" spans="2:3" ht="15.75" customHeight="1" x14ac:dyDescent="0.3">
      <c r="B303" s="10"/>
      <c r="C303" s="2"/>
    </row>
    <row r="304" spans="2:3" ht="15.75" customHeight="1" x14ac:dyDescent="0.3">
      <c r="B304" s="10"/>
      <c r="C304" s="2"/>
    </row>
    <row r="305" spans="2:3" ht="15.75" customHeight="1" x14ac:dyDescent="0.3">
      <c r="B305" s="10"/>
      <c r="C305" s="2"/>
    </row>
    <row r="306" spans="2:3" ht="15.75" customHeight="1" x14ac:dyDescent="0.3">
      <c r="B306" s="10"/>
      <c r="C306" s="2"/>
    </row>
    <row r="307" spans="2:3" ht="15.75" customHeight="1" x14ac:dyDescent="0.3">
      <c r="B307" s="10"/>
      <c r="C307" s="2"/>
    </row>
    <row r="308" spans="2:3" ht="15.75" customHeight="1" x14ac:dyDescent="0.3">
      <c r="B308" s="10"/>
      <c r="C308" s="2"/>
    </row>
    <row r="309" spans="2:3" ht="15.75" customHeight="1" x14ac:dyDescent="0.3">
      <c r="B309" s="10"/>
      <c r="C309" s="2"/>
    </row>
    <row r="310" spans="2:3" ht="15.75" customHeight="1" x14ac:dyDescent="0.3">
      <c r="B310" s="10"/>
      <c r="C310" s="2"/>
    </row>
    <row r="311" spans="2:3" ht="15.75" customHeight="1" x14ac:dyDescent="0.3">
      <c r="B311" s="10"/>
      <c r="C311" s="2"/>
    </row>
    <row r="312" spans="2:3" ht="15.75" customHeight="1" x14ac:dyDescent="0.3">
      <c r="B312" s="10"/>
      <c r="C312" s="2"/>
    </row>
    <row r="313" spans="2:3" ht="15.75" customHeight="1" x14ac:dyDescent="0.3">
      <c r="B313" s="10"/>
      <c r="C313" s="2"/>
    </row>
    <row r="314" spans="2:3" ht="15.75" customHeight="1" x14ac:dyDescent="0.3">
      <c r="B314" s="10"/>
      <c r="C314" s="2"/>
    </row>
    <row r="315" spans="2:3" ht="15.75" customHeight="1" x14ac:dyDescent="0.3">
      <c r="B315" s="10"/>
      <c r="C315" s="2"/>
    </row>
    <row r="316" spans="2:3" ht="15.75" customHeight="1" x14ac:dyDescent="0.3">
      <c r="B316" s="10"/>
      <c r="C316" s="2"/>
    </row>
    <row r="317" spans="2:3" ht="15.75" customHeight="1" x14ac:dyDescent="0.3">
      <c r="B317" s="10"/>
      <c r="C317" s="2"/>
    </row>
    <row r="318" spans="2:3" ht="15.75" customHeight="1" x14ac:dyDescent="0.3">
      <c r="B318" s="10"/>
      <c r="C318" s="2"/>
    </row>
    <row r="319" spans="2:3" ht="15.75" customHeight="1" x14ac:dyDescent="0.3">
      <c r="B319" s="10"/>
      <c r="C319" s="2"/>
    </row>
    <row r="320" spans="2:3" ht="15.75" customHeight="1" x14ac:dyDescent="0.3">
      <c r="B320" s="10"/>
      <c r="C320" s="2"/>
    </row>
    <row r="321" spans="2:3" ht="15.75" customHeight="1" x14ac:dyDescent="0.3">
      <c r="B321" s="10"/>
      <c r="C321" s="2"/>
    </row>
    <row r="322" spans="2:3" ht="15.75" customHeight="1" x14ac:dyDescent="0.3">
      <c r="B322" s="10"/>
      <c r="C322" s="2"/>
    </row>
    <row r="323" spans="2:3" ht="15.75" customHeight="1" x14ac:dyDescent="0.3">
      <c r="B323" s="10"/>
      <c r="C323" s="2"/>
    </row>
    <row r="324" spans="2:3" ht="15.75" customHeight="1" x14ac:dyDescent="0.3">
      <c r="B324" s="10"/>
      <c r="C324" s="2"/>
    </row>
    <row r="325" spans="2:3" ht="15.75" customHeight="1" x14ac:dyDescent="0.3">
      <c r="B325" s="10"/>
      <c r="C325" s="2"/>
    </row>
    <row r="326" spans="2:3" ht="15.75" customHeight="1" x14ac:dyDescent="0.3">
      <c r="B326" s="10"/>
      <c r="C326" s="2"/>
    </row>
    <row r="327" spans="2:3" ht="15.75" customHeight="1" x14ac:dyDescent="0.3">
      <c r="B327" s="10"/>
      <c r="C327" s="2"/>
    </row>
    <row r="328" spans="2:3" ht="15.75" customHeight="1" x14ac:dyDescent="0.3">
      <c r="B328" s="10"/>
      <c r="C328" s="2"/>
    </row>
    <row r="329" spans="2:3" ht="15.75" customHeight="1" x14ac:dyDescent="0.3">
      <c r="B329" s="10"/>
      <c r="C329" s="2"/>
    </row>
    <row r="330" spans="2:3" ht="15.75" customHeight="1" x14ac:dyDescent="0.3">
      <c r="B330" s="10"/>
      <c r="C330" s="2"/>
    </row>
    <row r="331" spans="2:3" ht="15.75" customHeight="1" x14ac:dyDescent="0.3">
      <c r="B331" s="10"/>
      <c r="C331" s="2"/>
    </row>
    <row r="332" spans="2:3" ht="15.75" customHeight="1" x14ac:dyDescent="0.3">
      <c r="B332" s="10"/>
      <c r="C332" s="2"/>
    </row>
    <row r="333" spans="2:3" ht="15.75" customHeight="1" x14ac:dyDescent="0.3">
      <c r="B333" s="10"/>
      <c r="C333" s="2"/>
    </row>
    <row r="334" spans="2:3" ht="15.75" customHeight="1" x14ac:dyDescent="0.3">
      <c r="B334" s="10"/>
      <c r="C334" s="2"/>
    </row>
    <row r="335" spans="2:3" ht="15.75" customHeight="1" x14ac:dyDescent="0.3">
      <c r="B335" s="10"/>
      <c r="C335" s="2"/>
    </row>
    <row r="336" spans="2:3" ht="15.75" customHeight="1" x14ac:dyDescent="0.3">
      <c r="B336" s="10"/>
      <c r="C336" s="2"/>
    </row>
    <row r="337" spans="2:3" ht="15.75" customHeight="1" x14ac:dyDescent="0.3">
      <c r="B337" s="10"/>
      <c r="C337" s="2"/>
    </row>
    <row r="338" spans="2:3" ht="15.75" customHeight="1" x14ac:dyDescent="0.3">
      <c r="B338" s="10"/>
      <c r="C338" s="2"/>
    </row>
    <row r="339" spans="2:3" ht="15.75" customHeight="1" x14ac:dyDescent="0.3">
      <c r="B339" s="10"/>
      <c r="C339" s="2"/>
    </row>
    <row r="340" spans="2:3" ht="15.75" customHeight="1" x14ac:dyDescent="0.3">
      <c r="B340" s="10"/>
      <c r="C340" s="2"/>
    </row>
    <row r="341" spans="2:3" ht="15.75" customHeight="1" x14ac:dyDescent="0.3">
      <c r="B341" s="10"/>
      <c r="C341" s="2"/>
    </row>
    <row r="342" spans="2:3" ht="15.75" customHeight="1" x14ac:dyDescent="0.3">
      <c r="B342" s="10"/>
      <c r="C342" s="2"/>
    </row>
    <row r="343" spans="2:3" ht="15.75" customHeight="1" x14ac:dyDescent="0.3">
      <c r="B343" s="10"/>
      <c r="C343" s="2"/>
    </row>
    <row r="344" spans="2:3" ht="15.75" customHeight="1" x14ac:dyDescent="0.3">
      <c r="B344" s="10"/>
      <c r="C344" s="2"/>
    </row>
    <row r="345" spans="2:3" ht="15.75" customHeight="1" x14ac:dyDescent="0.3">
      <c r="B345" s="10"/>
      <c r="C345" s="2"/>
    </row>
    <row r="346" spans="2:3" ht="15.75" customHeight="1" x14ac:dyDescent="0.3">
      <c r="B346" s="10"/>
      <c r="C346" s="2"/>
    </row>
    <row r="347" spans="2:3" ht="15.75" customHeight="1" x14ac:dyDescent="0.3">
      <c r="B347" s="10"/>
      <c r="C347" s="2"/>
    </row>
    <row r="348" spans="2:3" ht="15.75" customHeight="1" x14ac:dyDescent="0.3">
      <c r="B348" s="10"/>
      <c r="C348" s="2"/>
    </row>
    <row r="349" spans="2:3" ht="15.75" customHeight="1" x14ac:dyDescent="0.3">
      <c r="B349" s="10"/>
      <c r="C349" s="2"/>
    </row>
    <row r="350" spans="2:3" ht="15.75" customHeight="1" x14ac:dyDescent="0.3">
      <c r="B350" s="10"/>
      <c r="C350" s="2"/>
    </row>
    <row r="351" spans="2:3" ht="15.75" customHeight="1" x14ac:dyDescent="0.3">
      <c r="B351" s="10"/>
      <c r="C351" s="2"/>
    </row>
    <row r="352" spans="2:3" ht="15.75" customHeight="1" x14ac:dyDescent="0.3">
      <c r="B352" s="10"/>
      <c r="C352" s="2"/>
    </row>
    <row r="353" spans="2:3" ht="15.75" customHeight="1" x14ac:dyDescent="0.3">
      <c r="B353" s="10"/>
      <c r="C353" s="2"/>
    </row>
    <row r="354" spans="2:3" ht="15.75" customHeight="1" x14ac:dyDescent="0.3">
      <c r="B354" s="10"/>
      <c r="C354" s="2"/>
    </row>
    <row r="355" spans="2:3" ht="15.75" customHeight="1" x14ac:dyDescent="0.3">
      <c r="B355" s="10"/>
      <c r="C355" s="2"/>
    </row>
    <row r="356" spans="2:3" ht="15.75" customHeight="1" x14ac:dyDescent="0.3">
      <c r="B356" s="10"/>
      <c r="C356" s="2"/>
    </row>
    <row r="357" spans="2:3" ht="15.75" customHeight="1" x14ac:dyDescent="0.3">
      <c r="B357" s="10"/>
      <c r="C357" s="2"/>
    </row>
    <row r="358" spans="2:3" ht="15.75" customHeight="1" x14ac:dyDescent="0.3">
      <c r="B358" s="10"/>
      <c r="C358" s="2"/>
    </row>
    <row r="359" spans="2:3" ht="15.75" customHeight="1" x14ac:dyDescent="0.3">
      <c r="B359" s="10"/>
      <c r="C359" s="2"/>
    </row>
    <row r="360" spans="2:3" ht="15.75" customHeight="1" x14ac:dyDescent="0.3">
      <c r="B360" s="10"/>
      <c r="C360" s="2"/>
    </row>
    <row r="361" spans="2:3" ht="15.75" customHeight="1" x14ac:dyDescent="0.3">
      <c r="B361" s="10"/>
      <c r="C361" s="2"/>
    </row>
    <row r="362" spans="2:3" ht="15.75" customHeight="1" x14ac:dyDescent="0.3">
      <c r="B362" s="10"/>
      <c r="C362" s="2"/>
    </row>
    <row r="363" spans="2:3" ht="15.75" customHeight="1" x14ac:dyDescent="0.3">
      <c r="B363" s="10"/>
      <c r="C363" s="2"/>
    </row>
    <row r="364" spans="2:3" ht="15.75" customHeight="1" x14ac:dyDescent="0.3">
      <c r="B364" s="10"/>
      <c r="C364" s="2"/>
    </row>
    <row r="365" spans="2:3" ht="15.75" customHeight="1" x14ac:dyDescent="0.3">
      <c r="B365" s="10"/>
      <c r="C365" s="2"/>
    </row>
    <row r="366" spans="2:3" ht="15.75" customHeight="1" x14ac:dyDescent="0.3">
      <c r="B366" s="10"/>
      <c r="C366" s="2"/>
    </row>
    <row r="367" spans="2:3" ht="15.75" customHeight="1" x14ac:dyDescent="0.3">
      <c r="B367" s="10"/>
      <c r="C367" s="2"/>
    </row>
    <row r="368" spans="2:3" ht="15.75" customHeight="1" x14ac:dyDescent="0.3">
      <c r="B368" s="10"/>
      <c r="C368" s="2"/>
    </row>
    <row r="369" spans="2:3" ht="15.75" customHeight="1" x14ac:dyDescent="0.3">
      <c r="B369" s="10"/>
      <c r="C369" s="2"/>
    </row>
    <row r="370" spans="2:3" ht="15.75" customHeight="1" x14ac:dyDescent="0.3">
      <c r="B370" s="10"/>
      <c r="C370" s="2"/>
    </row>
    <row r="371" spans="2:3" ht="15.75" customHeight="1" x14ac:dyDescent="0.3">
      <c r="B371" s="10"/>
      <c r="C371" s="2"/>
    </row>
    <row r="372" spans="2:3" ht="15.75" customHeight="1" x14ac:dyDescent="0.3">
      <c r="B372" s="10"/>
      <c r="C372" s="2"/>
    </row>
    <row r="373" spans="2:3" ht="15.75" customHeight="1" x14ac:dyDescent="0.3">
      <c r="B373" s="10"/>
      <c r="C373" s="2"/>
    </row>
    <row r="374" spans="2:3" ht="15.75" customHeight="1" x14ac:dyDescent="0.3">
      <c r="B374" s="10"/>
      <c r="C374" s="2"/>
    </row>
    <row r="375" spans="2:3" ht="15.75" customHeight="1" x14ac:dyDescent="0.3">
      <c r="B375" s="10"/>
      <c r="C375" s="2"/>
    </row>
    <row r="376" spans="2:3" ht="15.75" customHeight="1" x14ac:dyDescent="0.3">
      <c r="B376" s="10"/>
      <c r="C376" s="2"/>
    </row>
    <row r="377" spans="2:3" ht="15.75" customHeight="1" x14ac:dyDescent="0.3">
      <c r="B377" s="10"/>
      <c r="C377" s="2"/>
    </row>
    <row r="378" spans="2:3" ht="15.75" customHeight="1" x14ac:dyDescent="0.3">
      <c r="B378" s="10"/>
      <c r="C378" s="2"/>
    </row>
    <row r="379" spans="2:3" ht="15.75" customHeight="1" x14ac:dyDescent="0.3">
      <c r="B379" s="10"/>
      <c r="C379" s="2"/>
    </row>
    <row r="380" spans="2:3" ht="15.75" customHeight="1" x14ac:dyDescent="0.3">
      <c r="B380" s="10"/>
      <c r="C380" s="2"/>
    </row>
    <row r="381" spans="2:3" ht="15.75" customHeight="1" x14ac:dyDescent="0.3">
      <c r="B381" s="10"/>
      <c r="C381" s="2"/>
    </row>
    <row r="382" spans="2:3" ht="15.75" customHeight="1" x14ac:dyDescent="0.3">
      <c r="B382" s="10"/>
      <c r="C382" s="2"/>
    </row>
    <row r="383" spans="2:3" ht="15.75" customHeight="1" x14ac:dyDescent="0.3">
      <c r="B383" s="10"/>
      <c r="C383" s="2"/>
    </row>
    <row r="384" spans="2:3" ht="15.75" customHeight="1" x14ac:dyDescent="0.3">
      <c r="B384" s="10"/>
      <c r="C384" s="2"/>
    </row>
    <row r="385" spans="2:3" ht="15.75" customHeight="1" x14ac:dyDescent="0.3">
      <c r="B385" s="10"/>
      <c r="C385" s="2"/>
    </row>
    <row r="386" spans="2:3" ht="15.75" customHeight="1" x14ac:dyDescent="0.3">
      <c r="B386" s="10"/>
      <c r="C386" s="2"/>
    </row>
    <row r="387" spans="2:3" ht="15.75" customHeight="1" x14ac:dyDescent="0.3">
      <c r="B387" s="10"/>
      <c r="C387" s="2"/>
    </row>
    <row r="388" spans="2:3" ht="15.75" customHeight="1" x14ac:dyDescent="0.3">
      <c r="B388" s="10"/>
      <c r="C388" s="2"/>
    </row>
    <row r="389" spans="2:3" ht="15.75" customHeight="1" x14ac:dyDescent="0.3">
      <c r="B389" s="10"/>
      <c r="C389" s="2"/>
    </row>
    <row r="390" spans="2:3" ht="15.75" customHeight="1" x14ac:dyDescent="0.3">
      <c r="B390" s="10"/>
      <c r="C390" s="2"/>
    </row>
    <row r="391" spans="2:3" ht="15.75" customHeight="1" x14ac:dyDescent="0.3">
      <c r="B391" s="10"/>
      <c r="C391" s="2"/>
    </row>
    <row r="392" spans="2:3" ht="15.75" customHeight="1" x14ac:dyDescent="0.3">
      <c r="B392" s="10"/>
      <c r="C392" s="2"/>
    </row>
    <row r="393" spans="2:3" ht="15.75" customHeight="1" x14ac:dyDescent="0.3">
      <c r="B393" s="10"/>
      <c r="C393" s="2"/>
    </row>
    <row r="394" spans="2:3" ht="15.75" customHeight="1" x14ac:dyDescent="0.3">
      <c r="B394" s="10"/>
      <c r="C394" s="2"/>
    </row>
    <row r="395" spans="2:3" ht="15.75" customHeight="1" x14ac:dyDescent="0.3">
      <c r="B395" s="10"/>
      <c r="C395" s="2"/>
    </row>
    <row r="396" spans="2:3" ht="15.75" customHeight="1" x14ac:dyDescent="0.3">
      <c r="B396" s="10"/>
      <c r="C396" s="2"/>
    </row>
    <row r="397" spans="2:3" ht="15.75" customHeight="1" x14ac:dyDescent="0.3">
      <c r="B397" s="10"/>
      <c r="C397" s="2"/>
    </row>
    <row r="398" spans="2:3" ht="15.75" customHeight="1" x14ac:dyDescent="0.3">
      <c r="B398" s="10"/>
      <c r="C398" s="2"/>
    </row>
    <row r="399" spans="2:3" ht="15.75" customHeight="1" x14ac:dyDescent="0.3">
      <c r="B399" s="10"/>
      <c r="C399" s="2"/>
    </row>
    <row r="400" spans="2:3" ht="15.75" customHeight="1" x14ac:dyDescent="0.3">
      <c r="B400" s="10"/>
      <c r="C400" s="2"/>
    </row>
    <row r="401" spans="2:3" ht="15.75" customHeight="1" x14ac:dyDescent="0.3">
      <c r="B401" s="10"/>
      <c r="C401" s="2"/>
    </row>
    <row r="402" spans="2:3" ht="15.75" customHeight="1" x14ac:dyDescent="0.3">
      <c r="B402" s="10"/>
      <c r="C402" s="2"/>
    </row>
    <row r="403" spans="2:3" ht="15.75" customHeight="1" x14ac:dyDescent="0.3">
      <c r="B403" s="10"/>
      <c r="C403" s="2"/>
    </row>
    <row r="404" spans="2:3" ht="15.75" customHeight="1" x14ac:dyDescent="0.3">
      <c r="B404" s="10"/>
      <c r="C404" s="2"/>
    </row>
    <row r="405" spans="2:3" ht="15.75" customHeight="1" x14ac:dyDescent="0.3">
      <c r="B405" s="10"/>
      <c r="C405" s="2"/>
    </row>
    <row r="406" spans="2:3" ht="15.75" customHeight="1" x14ac:dyDescent="0.3">
      <c r="B406" s="10"/>
      <c r="C406" s="2"/>
    </row>
    <row r="407" spans="2:3" ht="15.75" customHeight="1" x14ac:dyDescent="0.3">
      <c r="B407" s="10"/>
      <c r="C407" s="2"/>
    </row>
    <row r="408" spans="2:3" ht="15.75" customHeight="1" x14ac:dyDescent="0.3">
      <c r="B408" s="10"/>
      <c r="C408" s="2"/>
    </row>
    <row r="409" spans="2:3" ht="15.75" customHeight="1" x14ac:dyDescent="0.3">
      <c r="B409" s="10"/>
      <c r="C409" s="2"/>
    </row>
    <row r="410" spans="2:3" ht="15.75" customHeight="1" x14ac:dyDescent="0.3">
      <c r="B410" s="10"/>
      <c r="C410" s="2"/>
    </row>
    <row r="411" spans="2:3" ht="15.75" customHeight="1" x14ac:dyDescent="0.3">
      <c r="B411" s="10"/>
      <c r="C411" s="2"/>
    </row>
    <row r="412" spans="2:3" ht="15.75" customHeight="1" x14ac:dyDescent="0.3">
      <c r="B412" s="10"/>
      <c r="C412" s="2"/>
    </row>
    <row r="413" spans="2:3" ht="15.75" customHeight="1" x14ac:dyDescent="0.3">
      <c r="B413" s="10"/>
      <c r="C413" s="2"/>
    </row>
    <row r="414" spans="2:3" ht="15.75" customHeight="1" x14ac:dyDescent="0.3">
      <c r="B414" s="10"/>
      <c r="C414" s="2"/>
    </row>
    <row r="415" spans="2:3" ht="15.75" customHeight="1" x14ac:dyDescent="0.3">
      <c r="B415" s="10"/>
      <c r="C415" s="2"/>
    </row>
    <row r="416" spans="2:3" ht="15.75" customHeight="1" x14ac:dyDescent="0.3">
      <c r="B416" s="10"/>
      <c r="C416" s="2"/>
    </row>
    <row r="417" spans="2:3" ht="15.75" customHeight="1" x14ac:dyDescent="0.3">
      <c r="B417" s="10"/>
      <c r="C417" s="2"/>
    </row>
    <row r="418" spans="2:3" ht="15.75" customHeight="1" x14ac:dyDescent="0.3">
      <c r="B418" s="10"/>
      <c r="C418" s="2"/>
    </row>
    <row r="419" spans="2:3" ht="15.75" customHeight="1" x14ac:dyDescent="0.3">
      <c r="B419" s="10"/>
      <c r="C419" s="2"/>
    </row>
    <row r="420" spans="2:3" ht="15.75" customHeight="1" x14ac:dyDescent="0.3">
      <c r="B420" s="10"/>
      <c r="C420" s="2"/>
    </row>
    <row r="421" spans="2:3" ht="15.75" customHeight="1" x14ac:dyDescent="0.3">
      <c r="B421" s="10"/>
      <c r="C421" s="2"/>
    </row>
    <row r="422" spans="2:3" ht="15.75" customHeight="1" x14ac:dyDescent="0.3">
      <c r="B422" s="10"/>
      <c r="C422" s="2"/>
    </row>
    <row r="423" spans="2:3" ht="15.75" customHeight="1" x14ac:dyDescent="0.3">
      <c r="B423" s="10"/>
      <c r="C423" s="2"/>
    </row>
    <row r="424" spans="2:3" ht="15.75" customHeight="1" x14ac:dyDescent="0.3">
      <c r="B424" s="10"/>
      <c r="C424" s="2"/>
    </row>
    <row r="425" spans="2:3" ht="15.75" customHeight="1" x14ac:dyDescent="0.3">
      <c r="B425" s="10"/>
      <c r="C425" s="2"/>
    </row>
    <row r="426" spans="2:3" ht="15.75" customHeight="1" x14ac:dyDescent="0.3">
      <c r="B426" s="10"/>
      <c r="C426" s="2"/>
    </row>
    <row r="427" spans="2:3" ht="15.75" customHeight="1" x14ac:dyDescent="0.3">
      <c r="B427" s="10"/>
      <c r="C427" s="2"/>
    </row>
    <row r="428" spans="2:3" ht="15.75" customHeight="1" x14ac:dyDescent="0.3">
      <c r="B428" s="10"/>
      <c r="C428" s="2"/>
    </row>
    <row r="429" spans="2:3" ht="15.75" customHeight="1" x14ac:dyDescent="0.3">
      <c r="B429" s="10"/>
      <c r="C429" s="2"/>
    </row>
    <row r="430" spans="2:3" ht="15.75" customHeight="1" x14ac:dyDescent="0.3">
      <c r="B430" s="10"/>
      <c r="C430" s="2"/>
    </row>
    <row r="431" spans="2:3" ht="15.75" customHeight="1" x14ac:dyDescent="0.3">
      <c r="B431" s="10"/>
      <c r="C431" s="2"/>
    </row>
    <row r="432" spans="2:3" ht="15.75" customHeight="1" x14ac:dyDescent="0.3">
      <c r="B432" s="10"/>
      <c r="C432" s="2"/>
    </row>
    <row r="433" spans="2:3" ht="15.75" customHeight="1" x14ac:dyDescent="0.3">
      <c r="B433" s="10"/>
      <c r="C433" s="2"/>
    </row>
    <row r="434" spans="2:3" ht="15.75" customHeight="1" x14ac:dyDescent="0.3">
      <c r="B434" s="10"/>
      <c r="C434" s="2"/>
    </row>
    <row r="435" spans="2:3" ht="15.75" customHeight="1" x14ac:dyDescent="0.3">
      <c r="B435" s="10"/>
      <c r="C435" s="2"/>
    </row>
    <row r="436" spans="2:3" ht="15.75" customHeight="1" x14ac:dyDescent="0.3">
      <c r="B436" s="10"/>
      <c r="C436" s="2"/>
    </row>
    <row r="437" spans="2:3" ht="15.75" customHeight="1" x14ac:dyDescent="0.3">
      <c r="B437" s="10"/>
      <c r="C437" s="2"/>
    </row>
    <row r="438" spans="2:3" ht="15.75" customHeight="1" x14ac:dyDescent="0.3">
      <c r="B438" s="10"/>
      <c r="C438" s="2"/>
    </row>
    <row r="439" spans="2:3" ht="15.75" customHeight="1" x14ac:dyDescent="0.3">
      <c r="B439" s="10"/>
      <c r="C439" s="2"/>
    </row>
    <row r="440" spans="2:3" ht="15.75" customHeight="1" x14ac:dyDescent="0.3">
      <c r="B440" s="10"/>
      <c r="C440" s="2"/>
    </row>
    <row r="441" spans="2:3" ht="15.75" customHeight="1" x14ac:dyDescent="0.3">
      <c r="B441" s="10"/>
      <c r="C441" s="2"/>
    </row>
    <row r="442" spans="2:3" ht="15.75" customHeight="1" x14ac:dyDescent="0.3">
      <c r="B442" s="10"/>
      <c r="C442" s="2"/>
    </row>
    <row r="443" spans="2:3" ht="15.75" customHeight="1" x14ac:dyDescent="0.3">
      <c r="B443" s="10"/>
      <c r="C443" s="2"/>
    </row>
    <row r="444" spans="2:3" ht="15.75" customHeight="1" x14ac:dyDescent="0.3">
      <c r="B444" s="10"/>
      <c r="C444" s="2"/>
    </row>
    <row r="445" spans="2:3" ht="15.75" customHeight="1" x14ac:dyDescent="0.3">
      <c r="B445" s="10"/>
      <c r="C445" s="2"/>
    </row>
    <row r="446" spans="2:3" ht="15.75" customHeight="1" x14ac:dyDescent="0.3">
      <c r="B446" s="10"/>
      <c r="C446" s="2"/>
    </row>
    <row r="447" spans="2:3" ht="15.75" customHeight="1" x14ac:dyDescent="0.3">
      <c r="B447" s="10"/>
      <c r="C447" s="2"/>
    </row>
    <row r="448" spans="2:3" ht="15.75" customHeight="1" x14ac:dyDescent="0.3">
      <c r="B448" s="10"/>
      <c r="C448" s="2"/>
    </row>
    <row r="449" spans="2:3" ht="15.75" customHeight="1" x14ac:dyDescent="0.3">
      <c r="B449" s="10"/>
      <c r="C449" s="2"/>
    </row>
    <row r="450" spans="2:3" ht="15.75" customHeight="1" x14ac:dyDescent="0.3">
      <c r="B450" s="10"/>
      <c r="C450" s="2"/>
    </row>
    <row r="451" spans="2:3" ht="15.75" customHeight="1" x14ac:dyDescent="0.3">
      <c r="B451" s="10"/>
      <c r="C451" s="2"/>
    </row>
    <row r="452" spans="2:3" ht="15.75" customHeight="1" x14ac:dyDescent="0.3">
      <c r="B452" s="10"/>
      <c r="C452" s="2"/>
    </row>
    <row r="453" spans="2:3" ht="15.75" customHeight="1" x14ac:dyDescent="0.3">
      <c r="B453" s="10"/>
      <c r="C453" s="2"/>
    </row>
    <row r="454" spans="2:3" ht="15.75" customHeight="1" x14ac:dyDescent="0.3">
      <c r="B454" s="10"/>
      <c r="C454" s="2"/>
    </row>
    <row r="455" spans="2:3" ht="15.75" customHeight="1" x14ac:dyDescent="0.3">
      <c r="B455" s="10"/>
      <c r="C455" s="2"/>
    </row>
    <row r="456" spans="2:3" ht="15.75" customHeight="1" x14ac:dyDescent="0.3">
      <c r="B456" s="10"/>
      <c r="C456" s="2"/>
    </row>
    <row r="457" spans="2:3" ht="15.75" customHeight="1" x14ac:dyDescent="0.3">
      <c r="B457" s="10"/>
      <c r="C457" s="2"/>
    </row>
    <row r="458" spans="2:3" ht="15.75" customHeight="1" x14ac:dyDescent="0.3">
      <c r="B458" s="10"/>
      <c r="C458" s="2"/>
    </row>
    <row r="459" spans="2:3" ht="15.75" customHeight="1" x14ac:dyDescent="0.3">
      <c r="B459" s="10"/>
      <c r="C459" s="2"/>
    </row>
    <row r="460" spans="2:3" ht="15.75" customHeight="1" x14ac:dyDescent="0.3">
      <c r="B460" s="10"/>
      <c r="C460" s="2"/>
    </row>
    <row r="461" spans="2:3" ht="15.75" customHeight="1" x14ac:dyDescent="0.3">
      <c r="B461" s="10"/>
      <c r="C461" s="2"/>
    </row>
    <row r="462" spans="2:3" ht="15.75" customHeight="1" x14ac:dyDescent="0.3">
      <c r="B462" s="10"/>
      <c r="C462" s="2"/>
    </row>
    <row r="463" spans="2:3" ht="15.75" customHeight="1" x14ac:dyDescent="0.3">
      <c r="B463" s="10"/>
      <c r="C463" s="2"/>
    </row>
    <row r="464" spans="2:3" ht="15.75" customHeight="1" x14ac:dyDescent="0.3">
      <c r="B464" s="10"/>
      <c r="C464" s="2"/>
    </row>
    <row r="465" spans="2:3" ht="15.75" customHeight="1" x14ac:dyDescent="0.3">
      <c r="B465" s="10"/>
      <c r="C465" s="2"/>
    </row>
    <row r="466" spans="2:3" ht="15.75" customHeight="1" x14ac:dyDescent="0.3">
      <c r="B466" s="10"/>
      <c r="C466" s="2"/>
    </row>
    <row r="467" spans="2:3" ht="15.75" customHeight="1" x14ac:dyDescent="0.3">
      <c r="B467" s="10"/>
      <c r="C467" s="2"/>
    </row>
    <row r="468" spans="2:3" ht="15.75" customHeight="1" x14ac:dyDescent="0.3">
      <c r="B468" s="10"/>
      <c r="C468" s="2"/>
    </row>
    <row r="469" spans="2:3" ht="15.75" customHeight="1" x14ac:dyDescent="0.3">
      <c r="B469" s="10"/>
      <c r="C469" s="2"/>
    </row>
    <row r="470" spans="2:3" ht="15.75" customHeight="1" x14ac:dyDescent="0.3">
      <c r="B470" s="10"/>
      <c r="C470" s="2"/>
    </row>
    <row r="471" spans="2:3" ht="15.75" customHeight="1" x14ac:dyDescent="0.3">
      <c r="B471" s="10"/>
      <c r="C471" s="2"/>
    </row>
    <row r="472" spans="2:3" ht="15.75" customHeight="1" x14ac:dyDescent="0.3">
      <c r="B472" s="10"/>
      <c r="C472" s="2"/>
    </row>
    <row r="473" spans="2:3" ht="15.75" customHeight="1" x14ac:dyDescent="0.3">
      <c r="B473" s="10"/>
      <c r="C473" s="2"/>
    </row>
    <row r="474" spans="2:3" ht="15.75" customHeight="1" x14ac:dyDescent="0.3">
      <c r="B474" s="10"/>
      <c r="C474" s="2"/>
    </row>
    <row r="475" spans="2:3" ht="15.75" customHeight="1" x14ac:dyDescent="0.3">
      <c r="B475" s="10"/>
      <c r="C475" s="2"/>
    </row>
    <row r="476" spans="2:3" ht="15.75" customHeight="1" x14ac:dyDescent="0.3">
      <c r="B476" s="10"/>
      <c r="C476" s="2"/>
    </row>
    <row r="477" spans="2:3" ht="15.75" customHeight="1" x14ac:dyDescent="0.3">
      <c r="B477" s="10"/>
      <c r="C477" s="2"/>
    </row>
    <row r="478" spans="2:3" ht="15.75" customHeight="1" x14ac:dyDescent="0.3">
      <c r="B478" s="10"/>
      <c r="C478" s="2"/>
    </row>
    <row r="479" spans="2:3" ht="15.75" customHeight="1" x14ac:dyDescent="0.3">
      <c r="B479" s="10"/>
      <c r="C479" s="2"/>
    </row>
    <row r="480" spans="2:3" ht="15.75" customHeight="1" x14ac:dyDescent="0.3">
      <c r="B480" s="10"/>
      <c r="C480" s="2"/>
    </row>
    <row r="481" spans="2:3" ht="15.75" customHeight="1" x14ac:dyDescent="0.3">
      <c r="B481" s="10"/>
      <c r="C481" s="2"/>
    </row>
    <row r="482" spans="2:3" ht="15.75" customHeight="1" x14ac:dyDescent="0.3">
      <c r="B482" s="10"/>
      <c r="C482" s="2"/>
    </row>
    <row r="483" spans="2:3" ht="15.75" customHeight="1" x14ac:dyDescent="0.3">
      <c r="B483" s="10"/>
      <c r="C483" s="2"/>
    </row>
    <row r="484" spans="2:3" ht="15.75" customHeight="1" x14ac:dyDescent="0.3">
      <c r="B484" s="10"/>
      <c r="C484" s="2"/>
    </row>
    <row r="485" spans="2:3" ht="15.75" customHeight="1" x14ac:dyDescent="0.3">
      <c r="B485" s="10"/>
      <c r="C485" s="2"/>
    </row>
    <row r="486" spans="2:3" ht="15.75" customHeight="1" x14ac:dyDescent="0.3">
      <c r="B486" s="10"/>
      <c r="C486" s="2"/>
    </row>
    <row r="487" spans="2:3" ht="15.75" customHeight="1" x14ac:dyDescent="0.3">
      <c r="B487" s="10"/>
      <c r="C487" s="2"/>
    </row>
    <row r="488" spans="2:3" ht="15.75" customHeight="1" x14ac:dyDescent="0.3">
      <c r="B488" s="10"/>
      <c r="C488" s="2"/>
    </row>
    <row r="489" spans="2:3" ht="15.75" customHeight="1" x14ac:dyDescent="0.3">
      <c r="B489" s="10"/>
      <c r="C489" s="2"/>
    </row>
    <row r="490" spans="2:3" ht="15.75" customHeight="1" x14ac:dyDescent="0.3">
      <c r="B490" s="10"/>
      <c r="C490" s="2"/>
    </row>
    <row r="491" spans="2:3" ht="15.75" customHeight="1" x14ac:dyDescent="0.3">
      <c r="B491" s="10"/>
      <c r="C491" s="2"/>
    </row>
    <row r="492" spans="2:3" ht="15.75" customHeight="1" x14ac:dyDescent="0.3">
      <c r="B492" s="10"/>
      <c r="C492" s="2"/>
    </row>
    <row r="493" spans="2:3" ht="15.75" customHeight="1" x14ac:dyDescent="0.3">
      <c r="B493" s="10"/>
      <c r="C493" s="2"/>
    </row>
    <row r="494" spans="2:3" ht="15.75" customHeight="1" x14ac:dyDescent="0.3">
      <c r="B494" s="10"/>
      <c r="C494" s="2"/>
    </row>
    <row r="495" spans="2:3" ht="15.75" customHeight="1" x14ac:dyDescent="0.3">
      <c r="B495" s="10"/>
      <c r="C495" s="2"/>
    </row>
    <row r="496" spans="2:3" ht="15.75" customHeight="1" x14ac:dyDescent="0.3">
      <c r="B496" s="10"/>
      <c r="C496" s="2"/>
    </row>
    <row r="497" spans="2:3" ht="15.75" customHeight="1" x14ac:dyDescent="0.3">
      <c r="B497" s="10"/>
      <c r="C497" s="2"/>
    </row>
    <row r="498" spans="2:3" ht="15.75" customHeight="1" x14ac:dyDescent="0.3">
      <c r="B498" s="10"/>
      <c r="C498" s="2"/>
    </row>
    <row r="499" spans="2:3" ht="15.75" customHeight="1" x14ac:dyDescent="0.3">
      <c r="B499" s="10"/>
      <c r="C499" s="2"/>
    </row>
    <row r="500" spans="2:3" ht="15.75" customHeight="1" x14ac:dyDescent="0.3">
      <c r="B500" s="10"/>
      <c r="C500" s="2"/>
    </row>
    <row r="501" spans="2:3" ht="15.75" customHeight="1" x14ac:dyDescent="0.3">
      <c r="B501" s="10"/>
      <c r="C501" s="2"/>
    </row>
    <row r="502" spans="2:3" ht="15.75" customHeight="1" x14ac:dyDescent="0.3">
      <c r="B502" s="10"/>
      <c r="C502" s="2"/>
    </row>
    <row r="503" spans="2:3" ht="15.75" customHeight="1" x14ac:dyDescent="0.3">
      <c r="B503" s="10"/>
      <c r="C503" s="2"/>
    </row>
    <row r="504" spans="2:3" ht="15.75" customHeight="1" x14ac:dyDescent="0.3">
      <c r="B504" s="10"/>
      <c r="C504" s="2"/>
    </row>
    <row r="505" spans="2:3" ht="15.75" customHeight="1" x14ac:dyDescent="0.3">
      <c r="B505" s="10"/>
      <c r="C505" s="2"/>
    </row>
    <row r="506" spans="2:3" ht="15.75" customHeight="1" x14ac:dyDescent="0.3">
      <c r="B506" s="10"/>
      <c r="C506" s="2"/>
    </row>
    <row r="507" spans="2:3" ht="15.75" customHeight="1" x14ac:dyDescent="0.3">
      <c r="B507" s="10"/>
      <c r="C507" s="2"/>
    </row>
    <row r="508" spans="2:3" ht="15.75" customHeight="1" x14ac:dyDescent="0.3">
      <c r="B508" s="10"/>
      <c r="C508" s="2"/>
    </row>
    <row r="509" spans="2:3" ht="15.75" customHeight="1" x14ac:dyDescent="0.3">
      <c r="B509" s="10"/>
      <c r="C509" s="2"/>
    </row>
    <row r="510" spans="2:3" ht="15.75" customHeight="1" x14ac:dyDescent="0.3">
      <c r="B510" s="10"/>
      <c r="C510" s="2"/>
    </row>
    <row r="511" spans="2:3" ht="15.75" customHeight="1" x14ac:dyDescent="0.3">
      <c r="B511" s="10"/>
      <c r="C511" s="2"/>
    </row>
    <row r="512" spans="2:3" ht="15.75" customHeight="1" x14ac:dyDescent="0.3">
      <c r="B512" s="10"/>
      <c r="C512" s="2"/>
    </row>
    <row r="513" spans="2:3" ht="15.75" customHeight="1" x14ac:dyDescent="0.3">
      <c r="B513" s="10"/>
      <c r="C513" s="2"/>
    </row>
    <row r="514" spans="2:3" ht="15.75" customHeight="1" x14ac:dyDescent="0.3">
      <c r="B514" s="10"/>
      <c r="C514" s="2"/>
    </row>
    <row r="515" spans="2:3" ht="15.75" customHeight="1" x14ac:dyDescent="0.3">
      <c r="B515" s="10"/>
      <c r="C515" s="2"/>
    </row>
    <row r="516" spans="2:3" ht="15.75" customHeight="1" x14ac:dyDescent="0.3">
      <c r="B516" s="10"/>
      <c r="C516" s="2"/>
    </row>
    <row r="517" spans="2:3" ht="15.75" customHeight="1" x14ac:dyDescent="0.3">
      <c r="B517" s="10"/>
      <c r="C517" s="2"/>
    </row>
    <row r="518" spans="2:3" ht="15.75" customHeight="1" x14ac:dyDescent="0.3">
      <c r="B518" s="10"/>
      <c r="C518" s="2"/>
    </row>
    <row r="519" spans="2:3" ht="15.75" customHeight="1" x14ac:dyDescent="0.3">
      <c r="B519" s="10"/>
      <c r="C519" s="2"/>
    </row>
    <row r="520" spans="2:3" ht="15.75" customHeight="1" x14ac:dyDescent="0.3">
      <c r="B520" s="10"/>
      <c r="C520" s="2"/>
    </row>
    <row r="521" spans="2:3" ht="15.75" customHeight="1" x14ac:dyDescent="0.3">
      <c r="B521" s="10"/>
      <c r="C521" s="2"/>
    </row>
    <row r="522" spans="2:3" ht="15.75" customHeight="1" x14ac:dyDescent="0.3">
      <c r="B522" s="10"/>
      <c r="C522" s="2"/>
    </row>
    <row r="523" spans="2:3" ht="15.75" customHeight="1" x14ac:dyDescent="0.3">
      <c r="B523" s="10"/>
      <c r="C523" s="2"/>
    </row>
    <row r="524" spans="2:3" ht="15.75" customHeight="1" x14ac:dyDescent="0.3">
      <c r="B524" s="10"/>
      <c r="C524" s="2"/>
    </row>
    <row r="525" spans="2:3" ht="15.75" customHeight="1" x14ac:dyDescent="0.3">
      <c r="B525" s="10"/>
      <c r="C525" s="2"/>
    </row>
    <row r="526" spans="2:3" ht="15.75" customHeight="1" x14ac:dyDescent="0.3">
      <c r="B526" s="10"/>
      <c r="C526" s="2"/>
    </row>
    <row r="527" spans="2:3" ht="15.75" customHeight="1" x14ac:dyDescent="0.3">
      <c r="B527" s="10"/>
      <c r="C527" s="2"/>
    </row>
    <row r="528" spans="2:3" ht="15.75" customHeight="1" x14ac:dyDescent="0.3">
      <c r="B528" s="10"/>
      <c r="C528" s="2"/>
    </row>
    <row r="529" spans="2:3" ht="15.75" customHeight="1" x14ac:dyDescent="0.3">
      <c r="B529" s="10"/>
      <c r="C529" s="2"/>
    </row>
    <row r="530" spans="2:3" ht="15.75" customHeight="1" x14ac:dyDescent="0.3">
      <c r="B530" s="10"/>
      <c r="C530" s="2"/>
    </row>
    <row r="531" spans="2:3" ht="15.75" customHeight="1" x14ac:dyDescent="0.3">
      <c r="B531" s="10"/>
      <c r="C531" s="2"/>
    </row>
    <row r="532" spans="2:3" ht="15.75" customHeight="1" x14ac:dyDescent="0.3">
      <c r="B532" s="10"/>
      <c r="C532" s="2"/>
    </row>
    <row r="533" spans="2:3" ht="15.75" customHeight="1" x14ac:dyDescent="0.3">
      <c r="B533" s="10"/>
      <c r="C533" s="2"/>
    </row>
    <row r="534" spans="2:3" ht="15.75" customHeight="1" x14ac:dyDescent="0.3">
      <c r="B534" s="10"/>
      <c r="C534" s="2"/>
    </row>
    <row r="535" spans="2:3" ht="15.75" customHeight="1" x14ac:dyDescent="0.3">
      <c r="B535" s="10"/>
      <c r="C535" s="2"/>
    </row>
    <row r="536" spans="2:3" ht="15.75" customHeight="1" x14ac:dyDescent="0.3">
      <c r="B536" s="10"/>
      <c r="C536" s="2"/>
    </row>
    <row r="537" spans="2:3" ht="15.75" customHeight="1" x14ac:dyDescent="0.3">
      <c r="B537" s="10"/>
      <c r="C537" s="2"/>
    </row>
    <row r="538" spans="2:3" ht="15.75" customHeight="1" x14ac:dyDescent="0.3">
      <c r="B538" s="10"/>
      <c r="C538" s="2"/>
    </row>
    <row r="539" spans="2:3" ht="15.75" customHeight="1" x14ac:dyDescent="0.3">
      <c r="B539" s="10"/>
      <c r="C539" s="2"/>
    </row>
    <row r="540" spans="2:3" ht="15.75" customHeight="1" x14ac:dyDescent="0.3">
      <c r="B540" s="10"/>
      <c r="C540" s="2"/>
    </row>
    <row r="541" spans="2:3" ht="15.75" customHeight="1" x14ac:dyDescent="0.3">
      <c r="B541" s="10"/>
      <c r="C541" s="2"/>
    </row>
    <row r="542" spans="2:3" ht="15.75" customHeight="1" x14ac:dyDescent="0.3">
      <c r="B542" s="10"/>
      <c r="C542" s="2"/>
    </row>
    <row r="543" spans="2:3" ht="15.75" customHeight="1" x14ac:dyDescent="0.3">
      <c r="B543" s="10"/>
      <c r="C543" s="2"/>
    </row>
    <row r="544" spans="2:3" ht="15.75" customHeight="1" x14ac:dyDescent="0.3">
      <c r="B544" s="10"/>
      <c r="C544" s="2"/>
    </row>
    <row r="545" spans="2:3" ht="15.75" customHeight="1" x14ac:dyDescent="0.3">
      <c r="B545" s="10"/>
      <c r="C545" s="2"/>
    </row>
    <row r="546" spans="2:3" ht="15.75" customHeight="1" x14ac:dyDescent="0.3">
      <c r="B546" s="10"/>
      <c r="C546" s="2"/>
    </row>
    <row r="547" spans="2:3" ht="15.75" customHeight="1" x14ac:dyDescent="0.3">
      <c r="B547" s="10"/>
      <c r="C547" s="2"/>
    </row>
    <row r="548" spans="2:3" ht="15.75" customHeight="1" x14ac:dyDescent="0.3">
      <c r="B548" s="10"/>
      <c r="C548" s="2"/>
    </row>
    <row r="549" spans="2:3" ht="15.75" customHeight="1" x14ac:dyDescent="0.3">
      <c r="B549" s="10"/>
      <c r="C549" s="2"/>
    </row>
    <row r="550" spans="2:3" ht="15.75" customHeight="1" x14ac:dyDescent="0.3">
      <c r="B550" s="10"/>
      <c r="C550" s="2"/>
    </row>
    <row r="551" spans="2:3" ht="15.75" customHeight="1" x14ac:dyDescent="0.3">
      <c r="B551" s="10"/>
      <c r="C551" s="2"/>
    </row>
    <row r="552" spans="2:3" ht="15.75" customHeight="1" x14ac:dyDescent="0.3">
      <c r="B552" s="10"/>
      <c r="C552" s="2"/>
    </row>
    <row r="553" spans="2:3" ht="15.75" customHeight="1" x14ac:dyDescent="0.3">
      <c r="B553" s="10"/>
      <c r="C553" s="2"/>
    </row>
    <row r="554" spans="2:3" ht="15.75" customHeight="1" x14ac:dyDescent="0.3">
      <c r="B554" s="10"/>
      <c r="C554" s="2"/>
    </row>
    <row r="555" spans="2:3" ht="15.75" customHeight="1" x14ac:dyDescent="0.3">
      <c r="B555" s="10"/>
      <c r="C555" s="2"/>
    </row>
    <row r="556" spans="2:3" ht="15.75" customHeight="1" x14ac:dyDescent="0.3">
      <c r="B556" s="10"/>
      <c r="C556" s="2"/>
    </row>
    <row r="557" spans="2:3" ht="15.75" customHeight="1" x14ac:dyDescent="0.3">
      <c r="B557" s="10"/>
      <c r="C557" s="2"/>
    </row>
    <row r="558" spans="2:3" ht="15.75" customHeight="1" x14ac:dyDescent="0.3">
      <c r="B558" s="10"/>
      <c r="C558" s="2"/>
    </row>
    <row r="559" spans="2:3" ht="15.75" customHeight="1" x14ac:dyDescent="0.3">
      <c r="B559" s="10"/>
      <c r="C559" s="2"/>
    </row>
    <row r="560" spans="2:3" ht="15.75" customHeight="1" x14ac:dyDescent="0.3">
      <c r="B560" s="10"/>
      <c r="C560" s="2"/>
    </row>
    <row r="561" spans="2:3" ht="15.75" customHeight="1" x14ac:dyDescent="0.3">
      <c r="B561" s="10"/>
      <c r="C561" s="2"/>
    </row>
    <row r="562" spans="2:3" ht="15.75" customHeight="1" x14ac:dyDescent="0.3">
      <c r="B562" s="10"/>
      <c r="C562" s="2"/>
    </row>
    <row r="563" spans="2:3" ht="15.75" customHeight="1" x14ac:dyDescent="0.3">
      <c r="B563" s="10"/>
      <c r="C563" s="2"/>
    </row>
    <row r="564" spans="2:3" ht="15.75" customHeight="1" x14ac:dyDescent="0.3">
      <c r="B564" s="10"/>
      <c r="C564" s="2"/>
    </row>
    <row r="565" spans="2:3" ht="15.75" customHeight="1" x14ac:dyDescent="0.3">
      <c r="B565" s="10"/>
      <c r="C565" s="2"/>
    </row>
    <row r="566" spans="2:3" ht="15.75" customHeight="1" x14ac:dyDescent="0.3">
      <c r="B566" s="10"/>
      <c r="C566" s="2"/>
    </row>
    <row r="567" spans="2:3" ht="15.75" customHeight="1" x14ac:dyDescent="0.3">
      <c r="B567" s="10"/>
      <c r="C567" s="2"/>
    </row>
    <row r="568" spans="2:3" ht="15.75" customHeight="1" x14ac:dyDescent="0.3">
      <c r="B568" s="10"/>
      <c r="C568" s="2"/>
    </row>
    <row r="569" spans="2:3" ht="15.75" customHeight="1" x14ac:dyDescent="0.3">
      <c r="B569" s="10"/>
      <c r="C569" s="2"/>
    </row>
    <row r="570" spans="2:3" ht="15.75" customHeight="1" x14ac:dyDescent="0.3">
      <c r="B570" s="10"/>
      <c r="C570" s="2"/>
    </row>
    <row r="571" spans="2:3" ht="15.75" customHeight="1" x14ac:dyDescent="0.3">
      <c r="B571" s="10"/>
      <c r="C571" s="2"/>
    </row>
    <row r="572" spans="2:3" ht="15.75" customHeight="1" x14ac:dyDescent="0.3">
      <c r="B572" s="10"/>
      <c r="C572" s="2"/>
    </row>
    <row r="573" spans="2:3" ht="15.75" customHeight="1" x14ac:dyDescent="0.3">
      <c r="B573" s="10"/>
      <c r="C573" s="2"/>
    </row>
    <row r="574" spans="2:3" ht="15.75" customHeight="1" x14ac:dyDescent="0.3">
      <c r="B574" s="10"/>
      <c r="C574" s="2"/>
    </row>
    <row r="575" spans="2:3" ht="15.75" customHeight="1" x14ac:dyDescent="0.3">
      <c r="B575" s="10"/>
      <c r="C575" s="2"/>
    </row>
    <row r="576" spans="2:3" ht="15.75" customHeight="1" x14ac:dyDescent="0.3">
      <c r="B576" s="10"/>
      <c r="C576" s="2"/>
    </row>
    <row r="577" spans="2:3" ht="15.75" customHeight="1" x14ac:dyDescent="0.3">
      <c r="B577" s="10"/>
      <c r="C577" s="2"/>
    </row>
    <row r="578" spans="2:3" ht="15.75" customHeight="1" x14ac:dyDescent="0.3">
      <c r="B578" s="10"/>
      <c r="C578" s="2"/>
    </row>
    <row r="579" spans="2:3" ht="15.75" customHeight="1" x14ac:dyDescent="0.3">
      <c r="B579" s="10"/>
      <c r="C579" s="2"/>
    </row>
    <row r="580" spans="2:3" ht="15.75" customHeight="1" x14ac:dyDescent="0.3">
      <c r="B580" s="10"/>
      <c r="C580" s="2"/>
    </row>
    <row r="581" spans="2:3" ht="15.75" customHeight="1" x14ac:dyDescent="0.3">
      <c r="B581" s="10"/>
      <c r="C581" s="2"/>
    </row>
    <row r="582" spans="2:3" ht="15.75" customHeight="1" x14ac:dyDescent="0.3">
      <c r="B582" s="10"/>
      <c r="C582" s="2"/>
    </row>
    <row r="583" spans="2:3" ht="15.75" customHeight="1" x14ac:dyDescent="0.3">
      <c r="B583" s="10"/>
      <c r="C583" s="2"/>
    </row>
    <row r="584" spans="2:3" ht="15.75" customHeight="1" x14ac:dyDescent="0.3">
      <c r="B584" s="10"/>
      <c r="C584" s="2"/>
    </row>
    <row r="585" spans="2:3" ht="15.75" customHeight="1" x14ac:dyDescent="0.3">
      <c r="B585" s="10"/>
      <c r="C585" s="2"/>
    </row>
    <row r="586" spans="2:3" ht="15.75" customHeight="1" x14ac:dyDescent="0.3">
      <c r="B586" s="10"/>
      <c r="C586" s="2"/>
    </row>
    <row r="587" spans="2:3" ht="15.75" customHeight="1" x14ac:dyDescent="0.3">
      <c r="B587" s="10"/>
      <c r="C587" s="2"/>
    </row>
    <row r="588" spans="2:3" ht="15.75" customHeight="1" x14ac:dyDescent="0.3">
      <c r="B588" s="10"/>
      <c r="C588" s="2"/>
    </row>
    <row r="589" spans="2:3" ht="15.75" customHeight="1" x14ac:dyDescent="0.3">
      <c r="B589" s="10"/>
      <c r="C589" s="2"/>
    </row>
    <row r="590" spans="2:3" ht="15.75" customHeight="1" x14ac:dyDescent="0.3">
      <c r="B590" s="10"/>
      <c r="C590" s="2"/>
    </row>
    <row r="591" spans="2:3" ht="15.75" customHeight="1" x14ac:dyDescent="0.3">
      <c r="B591" s="10"/>
      <c r="C591" s="2"/>
    </row>
    <row r="592" spans="2:3" ht="15.75" customHeight="1" x14ac:dyDescent="0.3">
      <c r="B592" s="10"/>
      <c r="C592" s="2"/>
    </row>
    <row r="593" spans="2:3" ht="15.75" customHeight="1" x14ac:dyDescent="0.3">
      <c r="B593" s="10"/>
      <c r="C593" s="2"/>
    </row>
    <row r="594" spans="2:3" ht="15.75" customHeight="1" x14ac:dyDescent="0.3">
      <c r="B594" s="10"/>
      <c r="C594" s="2"/>
    </row>
    <row r="595" spans="2:3" ht="15.75" customHeight="1" x14ac:dyDescent="0.3">
      <c r="B595" s="10"/>
      <c r="C595" s="2"/>
    </row>
    <row r="596" spans="2:3" ht="15.75" customHeight="1" x14ac:dyDescent="0.3">
      <c r="B596" s="10"/>
      <c r="C596" s="2"/>
    </row>
    <row r="597" spans="2:3" ht="15.75" customHeight="1" x14ac:dyDescent="0.3">
      <c r="B597" s="10"/>
      <c r="C597" s="2"/>
    </row>
    <row r="598" spans="2:3" ht="15.75" customHeight="1" x14ac:dyDescent="0.3">
      <c r="B598" s="10"/>
      <c r="C598" s="2"/>
    </row>
    <row r="599" spans="2:3" ht="15.75" customHeight="1" x14ac:dyDescent="0.3">
      <c r="B599" s="10"/>
      <c r="C599" s="2"/>
    </row>
    <row r="600" spans="2:3" ht="15.75" customHeight="1" x14ac:dyDescent="0.3">
      <c r="B600" s="10"/>
      <c r="C600" s="2"/>
    </row>
    <row r="601" spans="2:3" ht="15.75" customHeight="1" x14ac:dyDescent="0.3">
      <c r="B601" s="10"/>
      <c r="C601" s="2"/>
    </row>
    <row r="602" spans="2:3" ht="15.75" customHeight="1" x14ac:dyDescent="0.3">
      <c r="B602" s="10"/>
      <c r="C602" s="2"/>
    </row>
    <row r="603" spans="2:3" ht="15.75" customHeight="1" x14ac:dyDescent="0.3">
      <c r="B603" s="10"/>
      <c r="C603" s="2"/>
    </row>
    <row r="604" spans="2:3" ht="15.75" customHeight="1" x14ac:dyDescent="0.3">
      <c r="B604" s="10"/>
      <c r="C604" s="2"/>
    </row>
    <row r="605" spans="2:3" ht="15.75" customHeight="1" x14ac:dyDescent="0.3">
      <c r="B605" s="10"/>
      <c r="C605" s="2"/>
    </row>
    <row r="606" spans="2:3" ht="15.75" customHeight="1" x14ac:dyDescent="0.3">
      <c r="B606" s="10"/>
      <c r="C606" s="2"/>
    </row>
    <row r="607" spans="2:3" ht="15.75" customHeight="1" x14ac:dyDescent="0.3">
      <c r="B607" s="10"/>
      <c r="C607" s="2"/>
    </row>
    <row r="608" spans="2:3" ht="15.75" customHeight="1" x14ac:dyDescent="0.3">
      <c r="B608" s="10"/>
      <c r="C608" s="2"/>
    </row>
    <row r="609" spans="2:3" ht="15.75" customHeight="1" x14ac:dyDescent="0.3">
      <c r="B609" s="10"/>
      <c r="C609" s="2"/>
    </row>
    <row r="610" spans="2:3" ht="15.75" customHeight="1" x14ac:dyDescent="0.3">
      <c r="B610" s="10"/>
      <c r="C610" s="2"/>
    </row>
    <row r="611" spans="2:3" ht="15.75" customHeight="1" x14ac:dyDescent="0.3">
      <c r="B611" s="10"/>
      <c r="C611" s="2"/>
    </row>
    <row r="612" spans="2:3" ht="15.75" customHeight="1" x14ac:dyDescent="0.3">
      <c r="B612" s="10"/>
      <c r="C612" s="2"/>
    </row>
    <row r="613" spans="2:3" ht="15.75" customHeight="1" x14ac:dyDescent="0.3">
      <c r="B613" s="10"/>
      <c r="C613" s="2"/>
    </row>
    <row r="614" spans="2:3" ht="15.75" customHeight="1" x14ac:dyDescent="0.3">
      <c r="B614" s="10"/>
      <c r="C614" s="2"/>
    </row>
    <row r="615" spans="2:3" ht="15.75" customHeight="1" x14ac:dyDescent="0.3">
      <c r="B615" s="10"/>
      <c r="C615" s="2"/>
    </row>
    <row r="616" spans="2:3" ht="15.75" customHeight="1" x14ac:dyDescent="0.3">
      <c r="B616" s="10"/>
      <c r="C616" s="2"/>
    </row>
    <row r="617" spans="2:3" ht="15.75" customHeight="1" x14ac:dyDescent="0.3">
      <c r="B617" s="10"/>
      <c r="C617" s="2"/>
    </row>
    <row r="618" spans="2:3" ht="15.75" customHeight="1" x14ac:dyDescent="0.3">
      <c r="B618" s="10"/>
      <c r="C618" s="2"/>
    </row>
    <row r="619" spans="2:3" ht="15.75" customHeight="1" x14ac:dyDescent="0.3">
      <c r="B619" s="10"/>
      <c r="C619" s="2"/>
    </row>
    <row r="620" spans="2:3" ht="15.75" customHeight="1" x14ac:dyDescent="0.3">
      <c r="B620" s="10"/>
      <c r="C620" s="2"/>
    </row>
    <row r="621" spans="2:3" ht="15.75" customHeight="1" x14ac:dyDescent="0.3">
      <c r="B621" s="10"/>
      <c r="C621" s="2"/>
    </row>
    <row r="622" spans="2:3" ht="15.75" customHeight="1" x14ac:dyDescent="0.3">
      <c r="B622" s="10"/>
      <c r="C622" s="2"/>
    </row>
    <row r="623" spans="2:3" ht="15.75" customHeight="1" x14ac:dyDescent="0.3">
      <c r="B623" s="10"/>
      <c r="C623" s="2"/>
    </row>
    <row r="624" spans="2:3" ht="15.75" customHeight="1" x14ac:dyDescent="0.3">
      <c r="B624" s="10"/>
      <c r="C624" s="2"/>
    </row>
    <row r="625" spans="2:3" ht="15.75" customHeight="1" x14ac:dyDescent="0.3">
      <c r="B625" s="10"/>
      <c r="C625" s="2"/>
    </row>
    <row r="626" spans="2:3" ht="15.75" customHeight="1" x14ac:dyDescent="0.3">
      <c r="B626" s="10"/>
      <c r="C626" s="2"/>
    </row>
    <row r="627" spans="2:3" ht="15.75" customHeight="1" x14ac:dyDescent="0.3">
      <c r="B627" s="10"/>
      <c r="C627" s="2"/>
    </row>
    <row r="628" spans="2:3" ht="15.75" customHeight="1" x14ac:dyDescent="0.3">
      <c r="B628" s="10"/>
      <c r="C628" s="2"/>
    </row>
    <row r="629" spans="2:3" ht="15.75" customHeight="1" x14ac:dyDescent="0.3">
      <c r="B629" s="10"/>
      <c r="C629" s="2"/>
    </row>
    <row r="630" spans="2:3" ht="15.75" customHeight="1" x14ac:dyDescent="0.3">
      <c r="B630" s="10"/>
      <c r="C630" s="2"/>
    </row>
    <row r="631" spans="2:3" ht="15.75" customHeight="1" x14ac:dyDescent="0.3">
      <c r="B631" s="10"/>
      <c r="C631" s="2"/>
    </row>
    <row r="632" spans="2:3" ht="15.75" customHeight="1" x14ac:dyDescent="0.3">
      <c r="B632" s="10"/>
      <c r="C632" s="2"/>
    </row>
    <row r="633" spans="2:3" ht="15.75" customHeight="1" x14ac:dyDescent="0.3">
      <c r="B633" s="10"/>
      <c r="C633" s="2"/>
    </row>
    <row r="634" spans="2:3" ht="15.75" customHeight="1" x14ac:dyDescent="0.3">
      <c r="B634" s="10"/>
      <c r="C634" s="2"/>
    </row>
    <row r="635" spans="2:3" ht="15.75" customHeight="1" x14ac:dyDescent="0.3">
      <c r="B635" s="10"/>
      <c r="C635" s="2"/>
    </row>
    <row r="636" spans="2:3" ht="15.75" customHeight="1" x14ac:dyDescent="0.3">
      <c r="B636" s="10"/>
      <c r="C636" s="2"/>
    </row>
    <row r="637" spans="2:3" ht="15.75" customHeight="1" x14ac:dyDescent="0.3">
      <c r="B637" s="10"/>
      <c r="C637" s="2"/>
    </row>
    <row r="638" spans="2:3" ht="15.75" customHeight="1" x14ac:dyDescent="0.3">
      <c r="B638" s="10"/>
      <c r="C638" s="2"/>
    </row>
    <row r="639" spans="2:3" ht="15.75" customHeight="1" x14ac:dyDescent="0.3">
      <c r="B639" s="10"/>
      <c r="C639" s="2"/>
    </row>
    <row r="640" spans="2:3" ht="15.75" customHeight="1" x14ac:dyDescent="0.3">
      <c r="B640" s="10"/>
      <c r="C640" s="2"/>
    </row>
    <row r="641" spans="2:3" ht="15.75" customHeight="1" x14ac:dyDescent="0.3">
      <c r="B641" s="10"/>
      <c r="C641" s="2"/>
    </row>
    <row r="642" spans="2:3" ht="15.75" customHeight="1" x14ac:dyDescent="0.3">
      <c r="B642" s="10"/>
      <c r="C642" s="2"/>
    </row>
    <row r="643" spans="2:3" ht="15.75" customHeight="1" x14ac:dyDescent="0.3">
      <c r="B643" s="10"/>
      <c r="C643" s="2"/>
    </row>
    <row r="644" spans="2:3" ht="15.75" customHeight="1" x14ac:dyDescent="0.3">
      <c r="B644" s="10"/>
      <c r="C644" s="2"/>
    </row>
    <row r="645" spans="2:3" ht="15.75" customHeight="1" x14ac:dyDescent="0.3">
      <c r="B645" s="10"/>
      <c r="C645" s="2"/>
    </row>
    <row r="646" spans="2:3" ht="15.75" customHeight="1" x14ac:dyDescent="0.3">
      <c r="B646" s="10"/>
      <c r="C646" s="2"/>
    </row>
    <row r="647" spans="2:3" ht="15.75" customHeight="1" x14ac:dyDescent="0.3">
      <c r="B647" s="10"/>
      <c r="C647" s="2"/>
    </row>
    <row r="648" spans="2:3" ht="15.75" customHeight="1" x14ac:dyDescent="0.3">
      <c r="B648" s="10"/>
      <c r="C648" s="2"/>
    </row>
    <row r="649" spans="2:3" ht="15.75" customHeight="1" x14ac:dyDescent="0.3">
      <c r="B649" s="10"/>
      <c r="C649" s="2"/>
    </row>
    <row r="650" spans="2:3" ht="15.75" customHeight="1" x14ac:dyDescent="0.3">
      <c r="B650" s="10"/>
      <c r="C650" s="2"/>
    </row>
    <row r="651" spans="2:3" ht="15.75" customHeight="1" x14ac:dyDescent="0.3">
      <c r="B651" s="10"/>
      <c r="C651" s="2"/>
    </row>
    <row r="652" spans="2:3" ht="15.75" customHeight="1" x14ac:dyDescent="0.3">
      <c r="B652" s="10"/>
      <c r="C652" s="2"/>
    </row>
    <row r="653" spans="2:3" ht="15.75" customHeight="1" x14ac:dyDescent="0.3">
      <c r="B653" s="10"/>
      <c r="C653" s="2"/>
    </row>
    <row r="654" spans="2:3" ht="15.75" customHeight="1" x14ac:dyDescent="0.3">
      <c r="B654" s="10"/>
      <c r="C654" s="2"/>
    </row>
    <row r="655" spans="2:3" ht="15.75" customHeight="1" x14ac:dyDescent="0.3">
      <c r="B655" s="10"/>
      <c r="C655" s="2"/>
    </row>
    <row r="656" spans="2:3" ht="15.75" customHeight="1" x14ac:dyDescent="0.3">
      <c r="B656" s="10"/>
      <c r="C656" s="2"/>
    </row>
    <row r="657" spans="2:3" ht="15.75" customHeight="1" x14ac:dyDescent="0.3">
      <c r="B657" s="10"/>
      <c r="C657" s="2"/>
    </row>
    <row r="658" spans="2:3" ht="15.75" customHeight="1" x14ac:dyDescent="0.3">
      <c r="B658" s="10"/>
      <c r="C658" s="2"/>
    </row>
    <row r="659" spans="2:3" ht="15.75" customHeight="1" x14ac:dyDescent="0.3">
      <c r="B659" s="10"/>
      <c r="C659" s="2"/>
    </row>
    <row r="660" spans="2:3" ht="15.75" customHeight="1" x14ac:dyDescent="0.3">
      <c r="B660" s="10"/>
      <c r="C660" s="2"/>
    </row>
    <row r="661" spans="2:3" ht="15.75" customHeight="1" x14ac:dyDescent="0.3">
      <c r="B661" s="10"/>
      <c r="C661" s="2"/>
    </row>
    <row r="662" spans="2:3" ht="15.75" customHeight="1" x14ac:dyDescent="0.3">
      <c r="B662" s="10"/>
      <c r="C662" s="2"/>
    </row>
    <row r="663" spans="2:3" ht="15.75" customHeight="1" x14ac:dyDescent="0.3">
      <c r="B663" s="10"/>
      <c r="C663" s="2"/>
    </row>
    <row r="664" spans="2:3" ht="15.75" customHeight="1" x14ac:dyDescent="0.3">
      <c r="B664" s="10"/>
      <c r="C664" s="2"/>
    </row>
    <row r="665" spans="2:3" ht="15.75" customHeight="1" x14ac:dyDescent="0.3">
      <c r="B665" s="10"/>
      <c r="C665" s="2"/>
    </row>
    <row r="666" spans="2:3" ht="15.75" customHeight="1" x14ac:dyDescent="0.3">
      <c r="B666" s="10"/>
      <c r="C666" s="2"/>
    </row>
    <row r="667" spans="2:3" ht="15.75" customHeight="1" x14ac:dyDescent="0.3">
      <c r="B667" s="10"/>
      <c r="C667" s="2"/>
    </row>
    <row r="668" spans="2:3" ht="15.75" customHeight="1" x14ac:dyDescent="0.3">
      <c r="B668" s="10"/>
      <c r="C668" s="2"/>
    </row>
    <row r="669" spans="2:3" ht="15.75" customHeight="1" x14ac:dyDescent="0.3">
      <c r="B669" s="10"/>
      <c r="C669" s="2"/>
    </row>
    <row r="670" spans="2:3" ht="15.75" customHeight="1" x14ac:dyDescent="0.3">
      <c r="B670" s="10"/>
      <c r="C670" s="2"/>
    </row>
    <row r="671" spans="2:3" ht="15.75" customHeight="1" x14ac:dyDescent="0.3">
      <c r="B671" s="10"/>
      <c r="C671" s="2"/>
    </row>
    <row r="672" spans="2:3" ht="15.75" customHeight="1" x14ac:dyDescent="0.3">
      <c r="B672" s="10"/>
      <c r="C672" s="2"/>
    </row>
    <row r="673" spans="2:3" ht="15.75" customHeight="1" x14ac:dyDescent="0.3">
      <c r="B673" s="10"/>
      <c r="C673" s="2"/>
    </row>
    <row r="674" spans="2:3" ht="15.75" customHeight="1" x14ac:dyDescent="0.3">
      <c r="B674" s="10"/>
      <c r="C674" s="2"/>
    </row>
    <row r="675" spans="2:3" ht="15.75" customHeight="1" x14ac:dyDescent="0.3">
      <c r="B675" s="10"/>
      <c r="C675" s="2"/>
    </row>
    <row r="676" spans="2:3" ht="15.75" customHeight="1" x14ac:dyDescent="0.3">
      <c r="B676" s="10"/>
      <c r="C676" s="2"/>
    </row>
    <row r="677" spans="2:3" ht="15.75" customHeight="1" x14ac:dyDescent="0.3">
      <c r="B677" s="10"/>
      <c r="C677" s="2"/>
    </row>
    <row r="678" spans="2:3" ht="15.75" customHeight="1" x14ac:dyDescent="0.3">
      <c r="B678" s="10"/>
      <c r="C678" s="2"/>
    </row>
    <row r="679" spans="2:3" ht="15.75" customHeight="1" x14ac:dyDescent="0.3">
      <c r="B679" s="10"/>
      <c r="C679" s="2"/>
    </row>
    <row r="680" spans="2:3" ht="15.75" customHeight="1" x14ac:dyDescent="0.3">
      <c r="B680" s="10"/>
      <c r="C680" s="2"/>
    </row>
    <row r="681" spans="2:3" ht="15.75" customHeight="1" x14ac:dyDescent="0.3">
      <c r="B681" s="10"/>
      <c r="C681" s="2"/>
    </row>
    <row r="682" spans="2:3" ht="15.75" customHeight="1" x14ac:dyDescent="0.3">
      <c r="B682" s="10"/>
      <c r="C682" s="2"/>
    </row>
    <row r="683" spans="2:3" ht="15.75" customHeight="1" x14ac:dyDescent="0.3">
      <c r="B683" s="10"/>
      <c r="C683" s="2"/>
    </row>
    <row r="684" spans="2:3" ht="15.75" customHeight="1" x14ac:dyDescent="0.3">
      <c r="B684" s="10"/>
      <c r="C684" s="2"/>
    </row>
    <row r="685" spans="2:3" ht="15.75" customHeight="1" x14ac:dyDescent="0.3">
      <c r="B685" s="10"/>
      <c r="C685" s="2"/>
    </row>
    <row r="686" spans="2:3" ht="15.75" customHeight="1" x14ac:dyDescent="0.3">
      <c r="B686" s="10"/>
      <c r="C686" s="2"/>
    </row>
    <row r="687" spans="2:3" ht="15.75" customHeight="1" x14ac:dyDescent="0.3">
      <c r="B687" s="10"/>
      <c r="C687" s="2"/>
    </row>
    <row r="688" spans="2:3" ht="15.75" customHeight="1" x14ac:dyDescent="0.3">
      <c r="B688" s="10"/>
      <c r="C688" s="2"/>
    </row>
    <row r="689" spans="2:3" ht="15.75" customHeight="1" x14ac:dyDescent="0.3">
      <c r="B689" s="10"/>
      <c r="C689" s="2"/>
    </row>
    <row r="690" spans="2:3" ht="15.75" customHeight="1" x14ac:dyDescent="0.3">
      <c r="B690" s="10"/>
      <c r="C690" s="2"/>
    </row>
    <row r="691" spans="2:3" ht="15.75" customHeight="1" x14ac:dyDescent="0.3">
      <c r="B691" s="10"/>
      <c r="C691" s="2"/>
    </row>
    <row r="692" spans="2:3" ht="15.75" customHeight="1" x14ac:dyDescent="0.3">
      <c r="B692" s="10"/>
      <c r="C692" s="2"/>
    </row>
    <row r="693" spans="2:3" ht="15.75" customHeight="1" x14ac:dyDescent="0.3">
      <c r="B693" s="10"/>
      <c r="C693" s="2"/>
    </row>
    <row r="694" spans="2:3" ht="15.75" customHeight="1" x14ac:dyDescent="0.3">
      <c r="B694" s="10"/>
      <c r="C694" s="2"/>
    </row>
    <row r="695" spans="2:3" ht="15.75" customHeight="1" x14ac:dyDescent="0.3">
      <c r="B695" s="10"/>
      <c r="C695" s="2"/>
    </row>
    <row r="696" spans="2:3" ht="15.75" customHeight="1" x14ac:dyDescent="0.3">
      <c r="B696" s="10"/>
      <c r="C696" s="2"/>
    </row>
    <row r="697" spans="2:3" ht="15.75" customHeight="1" x14ac:dyDescent="0.3">
      <c r="B697" s="10"/>
      <c r="C697" s="2"/>
    </row>
    <row r="698" spans="2:3" ht="15.75" customHeight="1" x14ac:dyDescent="0.3">
      <c r="B698" s="10"/>
      <c r="C698" s="2"/>
    </row>
    <row r="699" spans="2:3" ht="15.75" customHeight="1" x14ac:dyDescent="0.3">
      <c r="B699" s="10"/>
      <c r="C699" s="2"/>
    </row>
    <row r="700" spans="2:3" ht="15.75" customHeight="1" x14ac:dyDescent="0.3">
      <c r="B700" s="10"/>
      <c r="C700" s="2"/>
    </row>
    <row r="701" spans="2:3" ht="15.75" customHeight="1" x14ac:dyDescent="0.3">
      <c r="B701" s="10"/>
      <c r="C701" s="2"/>
    </row>
    <row r="702" spans="2:3" ht="15.75" customHeight="1" x14ac:dyDescent="0.3">
      <c r="B702" s="10"/>
      <c r="C702" s="2"/>
    </row>
    <row r="703" spans="2:3" ht="15.75" customHeight="1" x14ac:dyDescent="0.3">
      <c r="B703" s="10"/>
      <c r="C703" s="2"/>
    </row>
    <row r="704" spans="2:3" ht="15.75" customHeight="1" x14ac:dyDescent="0.3">
      <c r="B704" s="10"/>
      <c r="C704" s="2"/>
    </row>
    <row r="705" spans="2:3" ht="15.75" customHeight="1" x14ac:dyDescent="0.3">
      <c r="B705" s="10"/>
      <c r="C705" s="2"/>
    </row>
    <row r="706" spans="2:3" ht="15.75" customHeight="1" x14ac:dyDescent="0.3">
      <c r="B706" s="10"/>
      <c r="C706" s="2"/>
    </row>
    <row r="707" spans="2:3" ht="15.75" customHeight="1" x14ac:dyDescent="0.3">
      <c r="B707" s="10"/>
      <c r="C707" s="2"/>
    </row>
    <row r="708" spans="2:3" ht="15.75" customHeight="1" x14ac:dyDescent="0.3">
      <c r="B708" s="10"/>
      <c r="C708" s="2"/>
    </row>
    <row r="709" spans="2:3" ht="15.75" customHeight="1" x14ac:dyDescent="0.3">
      <c r="B709" s="10"/>
      <c r="C709" s="2"/>
    </row>
    <row r="710" spans="2:3" ht="15.75" customHeight="1" x14ac:dyDescent="0.3">
      <c r="B710" s="10"/>
      <c r="C710" s="2"/>
    </row>
    <row r="711" spans="2:3" ht="15.75" customHeight="1" x14ac:dyDescent="0.3">
      <c r="B711" s="10"/>
      <c r="C711" s="2"/>
    </row>
    <row r="712" spans="2:3" ht="15.75" customHeight="1" x14ac:dyDescent="0.3">
      <c r="B712" s="10"/>
      <c r="C712" s="2"/>
    </row>
    <row r="713" spans="2:3" ht="15.75" customHeight="1" x14ac:dyDescent="0.3">
      <c r="B713" s="10"/>
      <c r="C713" s="2"/>
    </row>
    <row r="714" spans="2:3" ht="15.75" customHeight="1" x14ac:dyDescent="0.3">
      <c r="B714" s="10"/>
      <c r="C714" s="2"/>
    </row>
    <row r="715" spans="2:3" ht="15.75" customHeight="1" x14ac:dyDescent="0.3">
      <c r="B715" s="10"/>
      <c r="C715" s="2"/>
    </row>
    <row r="716" spans="2:3" ht="15.75" customHeight="1" x14ac:dyDescent="0.3">
      <c r="B716" s="10"/>
      <c r="C716" s="2"/>
    </row>
    <row r="717" spans="2:3" ht="15.75" customHeight="1" x14ac:dyDescent="0.3">
      <c r="B717" s="10"/>
      <c r="C717" s="2"/>
    </row>
    <row r="718" spans="2:3" ht="15.75" customHeight="1" x14ac:dyDescent="0.3">
      <c r="B718" s="10"/>
      <c r="C718" s="2"/>
    </row>
    <row r="719" spans="2:3" ht="15.75" customHeight="1" x14ac:dyDescent="0.3">
      <c r="B719" s="10"/>
      <c r="C719" s="2"/>
    </row>
    <row r="720" spans="2:3" ht="15.75" customHeight="1" x14ac:dyDescent="0.3">
      <c r="B720" s="10"/>
      <c r="C720" s="2"/>
    </row>
    <row r="721" spans="2:3" ht="15.75" customHeight="1" x14ac:dyDescent="0.3">
      <c r="B721" s="10"/>
      <c r="C721" s="2"/>
    </row>
    <row r="722" spans="2:3" ht="15.75" customHeight="1" x14ac:dyDescent="0.3">
      <c r="B722" s="10"/>
      <c r="C722" s="2"/>
    </row>
    <row r="723" spans="2:3" ht="15.75" customHeight="1" x14ac:dyDescent="0.3">
      <c r="B723" s="10"/>
      <c r="C723" s="2"/>
    </row>
    <row r="724" spans="2:3" ht="15.75" customHeight="1" x14ac:dyDescent="0.3">
      <c r="B724" s="10"/>
      <c r="C724" s="2"/>
    </row>
    <row r="725" spans="2:3" ht="15.75" customHeight="1" x14ac:dyDescent="0.3">
      <c r="B725" s="10"/>
      <c r="C725" s="2"/>
    </row>
    <row r="726" spans="2:3" ht="15.75" customHeight="1" x14ac:dyDescent="0.3">
      <c r="B726" s="10"/>
      <c r="C726" s="2"/>
    </row>
    <row r="727" spans="2:3" ht="15.75" customHeight="1" x14ac:dyDescent="0.3">
      <c r="B727" s="10"/>
      <c r="C727" s="2"/>
    </row>
    <row r="728" spans="2:3" ht="15.75" customHeight="1" x14ac:dyDescent="0.3">
      <c r="B728" s="10"/>
      <c r="C728" s="2"/>
    </row>
    <row r="729" spans="2:3" ht="15.75" customHeight="1" x14ac:dyDescent="0.3">
      <c r="B729" s="10"/>
      <c r="C729" s="2"/>
    </row>
    <row r="730" spans="2:3" ht="15.75" customHeight="1" x14ac:dyDescent="0.3">
      <c r="B730" s="10"/>
      <c r="C730" s="2"/>
    </row>
    <row r="731" spans="2:3" ht="15.75" customHeight="1" x14ac:dyDescent="0.3">
      <c r="B731" s="10"/>
      <c r="C731" s="2"/>
    </row>
    <row r="732" spans="2:3" ht="15.75" customHeight="1" x14ac:dyDescent="0.3">
      <c r="B732" s="10"/>
      <c r="C732" s="2"/>
    </row>
    <row r="733" spans="2:3" ht="15.75" customHeight="1" x14ac:dyDescent="0.3">
      <c r="B733" s="10"/>
      <c r="C733" s="2"/>
    </row>
    <row r="734" spans="2:3" ht="15.75" customHeight="1" x14ac:dyDescent="0.3">
      <c r="B734" s="10"/>
      <c r="C734" s="2"/>
    </row>
    <row r="735" spans="2:3" ht="15.75" customHeight="1" x14ac:dyDescent="0.3">
      <c r="B735" s="10"/>
      <c r="C735" s="2"/>
    </row>
    <row r="736" spans="2:3" ht="15.75" customHeight="1" x14ac:dyDescent="0.3">
      <c r="B736" s="10"/>
      <c r="C736" s="2"/>
    </row>
    <row r="737" spans="2:3" ht="15.75" customHeight="1" x14ac:dyDescent="0.3">
      <c r="B737" s="10"/>
      <c r="C737" s="2"/>
    </row>
    <row r="738" spans="2:3" ht="15.75" customHeight="1" x14ac:dyDescent="0.3">
      <c r="B738" s="10"/>
      <c r="C738" s="2"/>
    </row>
    <row r="739" spans="2:3" ht="15.75" customHeight="1" x14ac:dyDescent="0.3">
      <c r="B739" s="10"/>
      <c r="C739" s="2"/>
    </row>
    <row r="740" spans="2:3" ht="15.75" customHeight="1" x14ac:dyDescent="0.3">
      <c r="B740" s="10"/>
      <c r="C740" s="2"/>
    </row>
    <row r="741" spans="2:3" ht="15.75" customHeight="1" x14ac:dyDescent="0.3">
      <c r="B741" s="10"/>
      <c r="C741" s="2"/>
    </row>
    <row r="742" spans="2:3" ht="15.75" customHeight="1" x14ac:dyDescent="0.3">
      <c r="B742" s="10"/>
      <c r="C742" s="2"/>
    </row>
    <row r="743" spans="2:3" ht="15.75" customHeight="1" x14ac:dyDescent="0.3">
      <c r="B743" s="10"/>
      <c r="C743" s="2"/>
    </row>
    <row r="744" spans="2:3" ht="15.75" customHeight="1" x14ac:dyDescent="0.3">
      <c r="B744" s="10"/>
      <c r="C744" s="2"/>
    </row>
    <row r="745" spans="2:3" ht="15.75" customHeight="1" x14ac:dyDescent="0.3">
      <c r="B745" s="10"/>
      <c r="C745" s="2"/>
    </row>
    <row r="746" spans="2:3" ht="15.75" customHeight="1" x14ac:dyDescent="0.3">
      <c r="B746" s="10"/>
      <c r="C746" s="2"/>
    </row>
    <row r="747" spans="2:3" ht="15.75" customHeight="1" x14ac:dyDescent="0.3">
      <c r="B747" s="10"/>
      <c r="C747" s="2"/>
    </row>
    <row r="748" spans="2:3" ht="15.75" customHeight="1" x14ac:dyDescent="0.3">
      <c r="B748" s="10"/>
      <c r="C748" s="2"/>
    </row>
    <row r="749" spans="2:3" ht="15.75" customHeight="1" x14ac:dyDescent="0.3">
      <c r="B749" s="10"/>
      <c r="C749" s="2"/>
    </row>
    <row r="750" spans="2:3" ht="15.75" customHeight="1" x14ac:dyDescent="0.3">
      <c r="B750" s="10"/>
      <c r="C750" s="2"/>
    </row>
    <row r="751" spans="2:3" ht="15.75" customHeight="1" x14ac:dyDescent="0.3">
      <c r="B751" s="10"/>
      <c r="C751" s="2"/>
    </row>
    <row r="752" spans="2:3" ht="15.75" customHeight="1" x14ac:dyDescent="0.3">
      <c r="B752" s="10"/>
      <c r="C752" s="2"/>
    </row>
    <row r="753" spans="2:3" ht="15.75" customHeight="1" x14ac:dyDescent="0.3">
      <c r="B753" s="10"/>
      <c r="C753" s="2"/>
    </row>
    <row r="754" spans="2:3" ht="15.75" customHeight="1" x14ac:dyDescent="0.3">
      <c r="B754" s="10"/>
      <c r="C754" s="2"/>
    </row>
    <row r="755" spans="2:3" ht="15.75" customHeight="1" x14ac:dyDescent="0.3">
      <c r="B755" s="10"/>
      <c r="C755" s="2"/>
    </row>
    <row r="756" spans="2:3" ht="15.75" customHeight="1" x14ac:dyDescent="0.3">
      <c r="B756" s="10"/>
      <c r="C756" s="2"/>
    </row>
    <row r="757" spans="2:3" ht="15.75" customHeight="1" x14ac:dyDescent="0.3">
      <c r="B757" s="10"/>
      <c r="C757" s="2"/>
    </row>
    <row r="758" spans="2:3" ht="15.75" customHeight="1" x14ac:dyDescent="0.3">
      <c r="B758" s="10"/>
      <c r="C758" s="2"/>
    </row>
    <row r="759" spans="2:3" ht="15.75" customHeight="1" x14ac:dyDescent="0.3">
      <c r="B759" s="10"/>
      <c r="C759" s="2"/>
    </row>
    <row r="760" spans="2:3" ht="15.75" customHeight="1" x14ac:dyDescent="0.3">
      <c r="B760" s="10"/>
      <c r="C760" s="2"/>
    </row>
    <row r="761" spans="2:3" ht="15.75" customHeight="1" x14ac:dyDescent="0.3">
      <c r="B761" s="10"/>
      <c r="C761" s="2"/>
    </row>
    <row r="762" spans="2:3" ht="15.75" customHeight="1" x14ac:dyDescent="0.3">
      <c r="B762" s="10"/>
      <c r="C762" s="2"/>
    </row>
    <row r="763" spans="2:3" ht="15.75" customHeight="1" x14ac:dyDescent="0.3">
      <c r="B763" s="10"/>
      <c r="C763" s="2"/>
    </row>
    <row r="764" spans="2:3" ht="15.75" customHeight="1" x14ac:dyDescent="0.3">
      <c r="B764" s="10"/>
      <c r="C764" s="2"/>
    </row>
    <row r="765" spans="2:3" ht="15.75" customHeight="1" x14ac:dyDescent="0.3">
      <c r="B765" s="10"/>
      <c r="C765" s="2"/>
    </row>
    <row r="766" spans="2:3" ht="15.75" customHeight="1" x14ac:dyDescent="0.3">
      <c r="B766" s="10"/>
      <c r="C766" s="2"/>
    </row>
    <row r="767" spans="2:3" ht="15.75" customHeight="1" x14ac:dyDescent="0.3">
      <c r="B767" s="10"/>
      <c r="C767" s="2"/>
    </row>
    <row r="768" spans="2:3" ht="15.75" customHeight="1" x14ac:dyDescent="0.3">
      <c r="B768" s="10"/>
      <c r="C768" s="2"/>
    </row>
    <row r="769" spans="2:3" ht="15.75" customHeight="1" x14ac:dyDescent="0.3">
      <c r="B769" s="10"/>
      <c r="C769" s="2"/>
    </row>
    <row r="770" spans="2:3" ht="15.75" customHeight="1" x14ac:dyDescent="0.3">
      <c r="B770" s="10"/>
      <c r="C770" s="2"/>
    </row>
    <row r="771" spans="2:3" ht="15.75" customHeight="1" x14ac:dyDescent="0.3">
      <c r="B771" s="10"/>
      <c r="C771" s="2"/>
    </row>
    <row r="772" spans="2:3" ht="15.75" customHeight="1" x14ac:dyDescent="0.3">
      <c r="B772" s="10"/>
      <c r="C772" s="2"/>
    </row>
    <row r="773" spans="2:3" ht="15.75" customHeight="1" x14ac:dyDescent="0.3">
      <c r="B773" s="10"/>
      <c r="C773" s="2"/>
    </row>
    <row r="774" spans="2:3" ht="15.75" customHeight="1" x14ac:dyDescent="0.3">
      <c r="B774" s="10"/>
      <c r="C774" s="2"/>
    </row>
    <row r="775" spans="2:3" ht="15.75" customHeight="1" x14ac:dyDescent="0.3">
      <c r="B775" s="10"/>
      <c r="C775" s="2"/>
    </row>
    <row r="776" spans="2:3" ht="15.75" customHeight="1" x14ac:dyDescent="0.3">
      <c r="B776" s="10"/>
      <c r="C776" s="2"/>
    </row>
    <row r="777" spans="2:3" ht="15.75" customHeight="1" x14ac:dyDescent="0.3">
      <c r="B777" s="10"/>
      <c r="C777" s="2"/>
    </row>
    <row r="778" spans="2:3" ht="15.75" customHeight="1" x14ac:dyDescent="0.3">
      <c r="B778" s="10"/>
      <c r="C778" s="2"/>
    </row>
    <row r="779" spans="2:3" ht="15.75" customHeight="1" x14ac:dyDescent="0.3">
      <c r="B779" s="10"/>
      <c r="C779" s="2"/>
    </row>
    <row r="780" spans="2:3" ht="15.75" customHeight="1" x14ac:dyDescent="0.3">
      <c r="B780" s="10"/>
      <c r="C780" s="2"/>
    </row>
    <row r="781" spans="2:3" ht="15.75" customHeight="1" x14ac:dyDescent="0.3">
      <c r="B781" s="10"/>
      <c r="C781" s="2"/>
    </row>
    <row r="782" spans="2:3" ht="15.75" customHeight="1" x14ac:dyDescent="0.3">
      <c r="B782" s="10"/>
      <c r="C782" s="2"/>
    </row>
    <row r="783" spans="2:3" ht="15.75" customHeight="1" x14ac:dyDescent="0.3">
      <c r="B783" s="10"/>
      <c r="C783" s="2"/>
    </row>
    <row r="784" spans="2:3" ht="15.75" customHeight="1" x14ac:dyDescent="0.3">
      <c r="B784" s="10"/>
      <c r="C784" s="2"/>
    </row>
    <row r="785" spans="2:3" ht="15.75" customHeight="1" x14ac:dyDescent="0.3">
      <c r="B785" s="10"/>
      <c r="C785" s="2"/>
    </row>
    <row r="786" spans="2:3" ht="15.75" customHeight="1" x14ac:dyDescent="0.3">
      <c r="B786" s="10"/>
      <c r="C786" s="2"/>
    </row>
    <row r="787" spans="2:3" ht="15.75" customHeight="1" x14ac:dyDescent="0.3">
      <c r="B787" s="10"/>
      <c r="C787" s="2"/>
    </row>
    <row r="788" spans="2:3" ht="15.75" customHeight="1" x14ac:dyDescent="0.3">
      <c r="B788" s="10"/>
      <c r="C788" s="2"/>
    </row>
    <row r="789" spans="2:3" ht="15.75" customHeight="1" x14ac:dyDescent="0.3">
      <c r="B789" s="10"/>
      <c r="C789" s="2"/>
    </row>
    <row r="790" spans="2:3" ht="15.75" customHeight="1" x14ac:dyDescent="0.3">
      <c r="B790" s="10"/>
      <c r="C790" s="2"/>
    </row>
    <row r="791" spans="2:3" ht="15.75" customHeight="1" x14ac:dyDescent="0.3">
      <c r="B791" s="10"/>
      <c r="C791" s="2"/>
    </row>
    <row r="792" spans="2:3" ht="15.75" customHeight="1" x14ac:dyDescent="0.3">
      <c r="B792" s="10"/>
      <c r="C792" s="2"/>
    </row>
    <row r="793" spans="2:3" ht="15.75" customHeight="1" x14ac:dyDescent="0.3">
      <c r="B793" s="10"/>
      <c r="C793" s="2"/>
    </row>
    <row r="794" spans="2:3" ht="15.75" customHeight="1" x14ac:dyDescent="0.3">
      <c r="B794" s="10"/>
      <c r="C794" s="2"/>
    </row>
    <row r="795" spans="2:3" ht="15.75" customHeight="1" x14ac:dyDescent="0.3">
      <c r="B795" s="10"/>
      <c r="C795" s="2"/>
    </row>
    <row r="796" spans="2:3" ht="15.75" customHeight="1" x14ac:dyDescent="0.3">
      <c r="B796" s="10"/>
      <c r="C796" s="2"/>
    </row>
    <row r="797" spans="2:3" ht="15.75" customHeight="1" x14ac:dyDescent="0.3">
      <c r="B797" s="10"/>
      <c r="C797" s="2"/>
    </row>
    <row r="798" spans="2:3" ht="15.75" customHeight="1" x14ac:dyDescent="0.3">
      <c r="B798" s="10"/>
      <c r="C798" s="2"/>
    </row>
    <row r="799" spans="2:3" ht="15.75" customHeight="1" x14ac:dyDescent="0.3">
      <c r="B799" s="10"/>
      <c r="C799" s="2"/>
    </row>
    <row r="800" spans="2:3" ht="15.75" customHeight="1" x14ac:dyDescent="0.3">
      <c r="B800" s="10"/>
      <c r="C800" s="2"/>
    </row>
    <row r="801" spans="2:3" ht="15.75" customHeight="1" x14ac:dyDescent="0.3">
      <c r="B801" s="10"/>
      <c r="C801" s="2"/>
    </row>
    <row r="802" spans="2:3" ht="15.75" customHeight="1" x14ac:dyDescent="0.3">
      <c r="B802" s="10"/>
      <c r="C802" s="2"/>
    </row>
    <row r="803" spans="2:3" ht="15.75" customHeight="1" x14ac:dyDescent="0.3">
      <c r="B803" s="10"/>
      <c r="C803" s="2"/>
    </row>
    <row r="804" spans="2:3" ht="15.75" customHeight="1" x14ac:dyDescent="0.3">
      <c r="B804" s="10"/>
      <c r="C804" s="2"/>
    </row>
    <row r="805" spans="2:3" ht="15.75" customHeight="1" x14ac:dyDescent="0.3">
      <c r="B805" s="10"/>
      <c r="C805" s="2"/>
    </row>
    <row r="806" spans="2:3" ht="15.75" customHeight="1" x14ac:dyDescent="0.3">
      <c r="B806" s="10"/>
      <c r="C806" s="2"/>
    </row>
    <row r="807" spans="2:3" ht="15.75" customHeight="1" x14ac:dyDescent="0.3">
      <c r="B807" s="10"/>
      <c r="C807" s="2"/>
    </row>
    <row r="808" spans="2:3" ht="15.75" customHeight="1" x14ac:dyDescent="0.3">
      <c r="B808" s="10"/>
      <c r="C808" s="2"/>
    </row>
    <row r="809" spans="2:3" ht="15.75" customHeight="1" x14ac:dyDescent="0.3">
      <c r="B809" s="10"/>
      <c r="C809" s="2"/>
    </row>
    <row r="810" spans="2:3" ht="15.75" customHeight="1" x14ac:dyDescent="0.3">
      <c r="B810" s="10"/>
      <c r="C810" s="2"/>
    </row>
    <row r="811" spans="2:3" ht="15.75" customHeight="1" x14ac:dyDescent="0.3">
      <c r="B811" s="10"/>
      <c r="C811" s="2"/>
    </row>
    <row r="812" spans="2:3" ht="15.75" customHeight="1" x14ac:dyDescent="0.3">
      <c r="B812" s="10"/>
      <c r="C812" s="2"/>
    </row>
    <row r="813" spans="2:3" ht="15.75" customHeight="1" x14ac:dyDescent="0.3">
      <c r="B813" s="10"/>
      <c r="C813" s="2"/>
    </row>
    <row r="814" spans="2:3" ht="15.75" customHeight="1" x14ac:dyDescent="0.3">
      <c r="B814" s="10"/>
      <c r="C814" s="2"/>
    </row>
    <row r="815" spans="2:3" ht="15.75" customHeight="1" x14ac:dyDescent="0.3">
      <c r="B815" s="10"/>
      <c r="C815" s="2"/>
    </row>
    <row r="816" spans="2:3" ht="15.75" customHeight="1" x14ac:dyDescent="0.3">
      <c r="B816" s="10"/>
      <c r="C816" s="2"/>
    </row>
    <row r="817" spans="2:3" ht="15.75" customHeight="1" x14ac:dyDescent="0.3">
      <c r="B817" s="10"/>
      <c r="C817" s="2"/>
    </row>
    <row r="818" spans="2:3" ht="15.75" customHeight="1" x14ac:dyDescent="0.3">
      <c r="B818" s="10"/>
      <c r="C818" s="2"/>
    </row>
    <row r="819" spans="2:3" ht="15.75" customHeight="1" x14ac:dyDescent="0.3">
      <c r="B819" s="10"/>
      <c r="C819" s="2"/>
    </row>
    <row r="820" spans="2:3" ht="15.75" customHeight="1" x14ac:dyDescent="0.3">
      <c r="B820" s="10"/>
      <c r="C820" s="2"/>
    </row>
    <row r="821" spans="2:3" ht="15.75" customHeight="1" x14ac:dyDescent="0.3">
      <c r="B821" s="10"/>
      <c r="C821" s="2"/>
    </row>
    <row r="822" spans="2:3" ht="15.75" customHeight="1" x14ac:dyDescent="0.3">
      <c r="B822" s="10"/>
      <c r="C822" s="2"/>
    </row>
    <row r="823" spans="2:3" ht="15.75" customHeight="1" x14ac:dyDescent="0.3">
      <c r="B823" s="10"/>
      <c r="C823" s="2"/>
    </row>
    <row r="824" spans="2:3" ht="15.75" customHeight="1" x14ac:dyDescent="0.3">
      <c r="B824" s="10"/>
      <c r="C824" s="2"/>
    </row>
    <row r="825" spans="2:3" ht="15.75" customHeight="1" x14ac:dyDescent="0.3">
      <c r="B825" s="10"/>
      <c r="C825" s="2"/>
    </row>
    <row r="826" spans="2:3" ht="15.75" customHeight="1" x14ac:dyDescent="0.3">
      <c r="B826" s="10"/>
      <c r="C826" s="2"/>
    </row>
    <row r="827" spans="2:3" ht="15.75" customHeight="1" x14ac:dyDescent="0.3">
      <c r="B827" s="10"/>
      <c r="C827" s="2"/>
    </row>
    <row r="828" spans="2:3" ht="15.75" customHeight="1" x14ac:dyDescent="0.3">
      <c r="B828" s="10"/>
      <c r="C828" s="2"/>
    </row>
    <row r="829" spans="2:3" ht="15.75" customHeight="1" x14ac:dyDescent="0.3">
      <c r="B829" s="10"/>
      <c r="C829" s="2"/>
    </row>
    <row r="830" spans="2:3" ht="15.75" customHeight="1" x14ac:dyDescent="0.3">
      <c r="B830" s="10"/>
      <c r="C830" s="2"/>
    </row>
    <row r="831" spans="2:3" ht="15.75" customHeight="1" x14ac:dyDescent="0.3">
      <c r="B831" s="10"/>
      <c r="C831" s="2"/>
    </row>
    <row r="832" spans="2:3" ht="15.75" customHeight="1" x14ac:dyDescent="0.3">
      <c r="B832" s="10"/>
      <c r="C832" s="2"/>
    </row>
    <row r="833" spans="2:3" ht="15.75" customHeight="1" x14ac:dyDescent="0.3">
      <c r="B833" s="10"/>
      <c r="C833" s="2"/>
    </row>
    <row r="834" spans="2:3" ht="15.75" customHeight="1" x14ac:dyDescent="0.3">
      <c r="B834" s="10"/>
      <c r="C834" s="2"/>
    </row>
    <row r="835" spans="2:3" ht="15.75" customHeight="1" x14ac:dyDescent="0.3">
      <c r="B835" s="10"/>
      <c r="C835" s="2"/>
    </row>
    <row r="836" spans="2:3" ht="15.75" customHeight="1" x14ac:dyDescent="0.3">
      <c r="B836" s="10"/>
      <c r="C836" s="2"/>
    </row>
    <row r="837" spans="2:3" ht="15.75" customHeight="1" x14ac:dyDescent="0.3">
      <c r="B837" s="10"/>
      <c r="C837" s="2"/>
    </row>
    <row r="838" spans="2:3" ht="15.75" customHeight="1" x14ac:dyDescent="0.3">
      <c r="B838" s="10"/>
      <c r="C838" s="2"/>
    </row>
    <row r="839" spans="2:3" ht="15.75" customHeight="1" x14ac:dyDescent="0.3">
      <c r="B839" s="10"/>
      <c r="C839" s="2"/>
    </row>
    <row r="840" spans="2:3" ht="15.75" customHeight="1" x14ac:dyDescent="0.3">
      <c r="B840" s="10"/>
      <c r="C840" s="2"/>
    </row>
    <row r="841" spans="2:3" ht="15.75" customHeight="1" x14ac:dyDescent="0.3">
      <c r="B841" s="10"/>
      <c r="C841" s="2"/>
    </row>
    <row r="842" spans="2:3" ht="15.75" customHeight="1" x14ac:dyDescent="0.3">
      <c r="B842" s="10"/>
      <c r="C842" s="2"/>
    </row>
    <row r="843" spans="2:3" ht="15.75" customHeight="1" x14ac:dyDescent="0.3">
      <c r="B843" s="10"/>
      <c r="C843" s="2"/>
    </row>
    <row r="844" spans="2:3" ht="15.75" customHeight="1" x14ac:dyDescent="0.3">
      <c r="B844" s="10"/>
      <c r="C844" s="2"/>
    </row>
    <row r="845" spans="2:3" ht="15.75" customHeight="1" x14ac:dyDescent="0.3">
      <c r="B845" s="10"/>
      <c r="C845" s="2"/>
    </row>
    <row r="846" spans="2:3" ht="15.75" customHeight="1" x14ac:dyDescent="0.3">
      <c r="B846" s="10"/>
      <c r="C846" s="2"/>
    </row>
    <row r="847" spans="2:3" ht="15.75" customHeight="1" x14ac:dyDescent="0.3">
      <c r="B847" s="10"/>
      <c r="C847" s="2"/>
    </row>
    <row r="848" spans="2:3" ht="15.75" customHeight="1" x14ac:dyDescent="0.3">
      <c r="B848" s="10"/>
      <c r="C848" s="2"/>
    </row>
    <row r="849" spans="2:3" ht="15.75" customHeight="1" x14ac:dyDescent="0.3">
      <c r="B849" s="10"/>
      <c r="C849" s="2"/>
    </row>
    <row r="850" spans="2:3" ht="15.75" customHeight="1" x14ac:dyDescent="0.3">
      <c r="B850" s="10"/>
      <c r="C850" s="2"/>
    </row>
    <row r="851" spans="2:3" ht="15.75" customHeight="1" x14ac:dyDescent="0.3">
      <c r="B851" s="10"/>
      <c r="C851" s="2"/>
    </row>
    <row r="852" spans="2:3" ht="15.75" customHeight="1" x14ac:dyDescent="0.3">
      <c r="B852" s="10"/>
      <c r="C852" s="2"/>
    </row>
    <row r="853" spans="2:3" ht="15.75" customHeight="1" x14ac:dyDescent="0.3">
      <c r="B853" s="10"/>
      <c r="C853" s="2"/>
    </row>
    <row r="854" spans="2:3" ht="15.75" customHeight="1" x14ac:dyDescent="0.3">
      <c r="B854" s="10"/>
      <c r="C854" s="2"/>
    </row>
    <row r="855" spans="2:3" ht="15.75" customHeight="1" x14ac:dyDescent="0.3">
      <c r="B855" s="10"/>
      <c r="C855" s="2"/>
    </row>
    <row r="856" spans="2:3" ht="15.75" customHeight="1" x14ac:dyDescent="0.3">
      <c r="B856" s="10"/>
      <c r="C856" s="2"/>
    </row>
    <row r="857" spans="2:3" ht="15.75" customHeight="1" x14ac:dyDescent="0.3">
      <c r="B857" s="10"/>
      <c r="C857" s="2"/>
    </row>
    <row r="858" spans="2:3" ht="15.75" customHeight="1" x14ac:dyDescent="0.3">
      <c r="B858" s="10"/>
      <c r="C858" s="2"/>
    </row>
    <row r="859" spans="2:3" ht="15.75" customHeight="1" x14ac:dyDescent="0.3">
      <c r="B859" s="10"/>
      <c r="C859" s="2"/>
    </row>
    <row r="860" spans="2:3" ht="15.75" customHeight="1" x14ac:dyDescent="0.3">
      <c r="B860" s="10"/>
      <c r="C860" s="2"/>
    </row>
    <row r="861" spans="2:3" ht="15.75" customHeight="1" x14ac:dyDescent="0.3">
      <c r="B861" s="10"/>
      <c r="C861" s="2"/>
    </row>
    <row r="862" spans="2:3" ht="15.75" customHeight="1" x14ac:dyDescent="0.3">
      <c r="B862" s="10"/>
      <c r="C862" s="2"/>
    </row>
    <row r="863" spans="2:3" ht="15.75" customHeight="1" x14ac:dyDescent="0.3">
      <c r="B863" s="10"/>
      <c r="C863" s="2"/>
    </row>
    <row r="864" spans="2:3" ht="15.75" customHeight="1" x14ac:dyDescent="0.3">
      <c r="B864" s="10"/>
      <c r="C864" s="2"/>
    </row>
    <row r="865" spans="2:3" ht="15.75" customHeight="1" x14ac:dyDescent="0.3">
      <c r="B865" s="10"/>
      <c r="C865" s="2"/>
    </row>
    <row r="866" spans="2:3" ht="15.75" customHeight="1" x14ac:dyDescent="0.3">
      <c r="B866" s="10"/>
      <c r="C866" s="2"/>
    </row>
    <row r="867" spans="2:3" ht="15.75" customHeight="1" x14ac:dyDescent="0.3">
      <c r="B867" s="10"/>
      <c r="C867" s="2"/>
    </row>
    <row r="868" spans="2:3" ht="15.75" customHeight="1" x14ac:dyDescent="0.3">
      <c r="B868" s="10"/>
      <c r="C868" s="2"/>
    </row>
    <row r="869" spans="2:3" ht="15.75" customHeight="1" x14ac:dyDescent="0.3">
      <c r="B869" s="10"/>
      <c r="C869" s="2"/>
    </row>
    <row r="870" spans="2:3" ht="15.75" customHeight="1" x14ac:dyDescent="0.3">
      <c r="B870" s="10"/>
      <c r="C870" s="2"/>
    </row>
    <row r="871" spans="2:3" ht="15.75" customHeight="1" x14ac:dyDescent="0.3">
      <c r="B871" s="10"/>
      <c r="C871" s="2"/>
    </row>
    <row r="872" spans="2:3" ht="15.75" customHeight="1" x14ac:dyDescent="0.3">
      <c r="B872" s="10"/>
      <c r="C872" s="2"/>
    </row>
    <row r="873" spans="2:3" ht="15.75" customHeight="1" x14ac:dyDescent="0.3">
      <c r="B873" s="10"/>
      <c r="C873" s="2"/>
    </row>
    <row r="874" spans="2:3" ht="15.75" customHeight="1" x14ac:dyDescent="0.3">
      <c r="B874" s="10"/>
      <c r="C874" s="2"/>
    </row>
    <row r="875" spans="2:3" ht="15.75" customHeight="1" x14ac:dyDescent="0.3">
      <c r="B875" s="10"/>
      <c r="C875" s="2"/>
    </row>
    <row r="876" spans="2:3" ht="15.75" customHeight="1" x14ac:dyDescent="0.3">
      <c r="B876" s="10"/>
      <c r="C876" s="2"/>
    </row>
    <row r="877" spans="2:3" ht="15.75" customHeight="1" x14ac:dyDescent="0.3">
      <c r="B877" s="10"/>
      <c r="C877" s="2"/>
    </row>
    <row r="878" spans="2:3" ht="15.75" customHeight="1" x14ac:dyDescent="0.3">
      <c r="B878" s="10"/>
      <c r="C878" s="2"/>
    </row>
    <row r="879" spans="2:3" ht="15.75" customHeight="1" x14ac:dyDescent="0.3">
      <c r="B879" s="10"/>
      <c r="C879" s="2"/>
    </row>
    <row r="880" spans="2:3" ht="15.75" customHeight="1" x14ac:dyDescent="0.3">
      <c r="B880" s="10"/>
      <c r="C880" s="2"/>
    </row>
    <row r="881" spans="2:3" ht="15.75" customHeight="1" x14ac:dyDescent="0.3">
      <c r="B881" s="10"/>
      <c r="C881" s="2"/>
    </row>
    <row r="882" spans="2:3" ht="15.75" customHeight="1" x14ac:dyDescent="0.3">
      <c r="B882" s="10"/>
      <c r="C882" s="2"/>
    </row>
    <row r="883" spans="2:3" ht="15.75" customHeight="1" x14ac:dyDescent="0.3">
      <c r="B883" s="10"/>
      <c r="C883" s="2"/>
    </row>
    <row r="884" spans="2:3" ht="15.75" customHeight="1" x14ac:dyDescent="0.3">
      <c r="B884" s="10"/>
      <c r="C884" s="2"/>
    </row>
    <row r="885" spans="2:3" ht="15.75" customHeight="1" x14ac:dyDescent="0.3">
      <c r="B885" s="10"/>
      <c r="C885" s="2"/>
    </row>
    <row r="886" spans="2:3" ht="15.75" customHeight="1" x14ac:dyDescent="0.3">
      <c r="B886" s="10"/>
      <c r="C886" s="2"/>
    </row>
    <row r="887" spans="2:3" ht="15.75" customHeight="1" x14ac:dyDescent="0.3">
      <c r="B887" s="10"/>
      <c r="C887" s="2"/>
    </row>
    <row r="888" spans="2:3" ht="15.75" customHeight="1" x14ac:dyDescent="0.3">
      <c r="B888" s="10"/>
      <c r="C888" s="2"/>
    </row>
    <row r="889" spans="2:3" ht="15.75" customHeight="1" x14ac:dyDescent="0.3">
      <c r="B889" s="10"/>
      <c r="C889" s="2"/>
    </row>
    <row r="890" spans="2:3" ht="15.75" customHeight="1" x14ac:dyDescent="0.3">
      <c r="B890" s="10"/>
      <c r="C890" s="2"/>
    </row>
    <row r="891" spans="2:3" ht="15.75" customHeight="1" x14ac:dyDescent="0.3">
      <c r="B891" s="10"/>
      <c r="C891" s="2"/>
    </row>
    <row r="892" spans="2:3" ht="15.75" customHeight="1" x14ac:dyDescent="0.3">
      <c r="B892" s="10"/>
      <c r="C892" s="2"/>
    </row>
    <row r="893" spans="2:3" ht="15.75" customHeight="1" x14ac:dyDescent="0.3">
      <c r="B893" s="10"/>
      <c r="C893" s="2"/>
    </row>
    <row r="894" spans="2:3" ht="15.75" customHeight="1" x14ac:dyDescent="0.3">
      <c r="B894" s="10"/>
      <c r="C894" s="2"/>
    </row>
    <row r="895" spans="2:3" ht="15.75" customHeight="1" x14ac:dyDescent="0.3">
      <c r="B895" s="10"/>
      <c r="C895" s="2"/>
    </row>
    <row r="896" spans="2:3" ht="15.75" customHeight="1" x14ac:dyDescent="0.3">
      <c r="B896" s="10"/>
      <c r="C896" s="2"/>
    </row>
    <row r="897" spans="2:3" ht="15.75" customHeight="1" x14ac:dyDescent="0.3">
      <c r="B897" s="10"/>
      <c r="C897" s="2"/>
    </row>
    <row r="898" spans="2:3" ht="15.75" customHeight="1" x14ac:dyDescent="0.3">
      <c r="B898" s="10"/>
      <c r="C898" s="2"/>
    </row>
    <row r="899" spans="2:3" ht="15.75" customHeight="1" x14ac:dyDescent="0.3">
      <c r="B899" s="10"/>
      <c r="C899" s="2"/>
    </row>
    <row r="900" spans="2:3" ht="15.75" customHeight="1" x14ac:dyDescent="0.3">
      <c r="B900" s="10"/>
      <c r="C900" s="2"/>
    </row>
    <row r="901" spans="2:3" ht="15.75" customHeight="1" x14ac:dyDescent="0.3">
      <c r="B901" s="10"/>
      <c r="C901" s="2"/>
    </row>
    <row r="902" spans="2:3" ht="15.75" customHeight="1" x14ac:dyDescent="0.3">
      <c r="B902" s="10"/>
      <c r="C902" s="2"/>
    </row>
    <row r="903" spans="2:3" ht="15.75" customHeight="1" x14ac:dyDescent="0.3">
      <c r="B903" s="10"/>
      <c r="C903" s="2"/>
    </row>
    <row r="904" spans="2:3" ht="15.75" customHeight="1" x14ac:dyDescent="0.3">
      <c r="B904" s="10"/>
      <c r="C904" s="2"/>
    </row>
    <row r="905" spans="2:3" ht="15.75" customHeight="1" x14ac:dyDescent="0.3">
      <c r="B905" s="10"/>
      <c r="C905" s="2"/>
    </row>
    <row r="906" spans="2:3" ht="15.75" customHeight="1" x14ac:dyDescent="0.3">
      <c r="B906" s="10"/>
      <c r="C906" s="2"/>
    </row>
    <row r="907" spans="2:3" ht="15.75" customHeight="1" x14ac:dyDescent="0.3">
      <c r="B907" s="10"/>
      <c r="C907" s="2"/>
    </row>
    <row r="908" spans="2:3" ht="15.75" customHeight="1" x14ac:dyDescent="0.3">
      <c r="B908" s="10"/>
      <c r="C908" s="2"/>
    </row>
    <row r="909" spans="2:3" ht="15.75" customHeight="1" x14ac:dyDescent="0.3">
      <c r="B909" s="10"/>
      <c r="C909" s="2"/>
    </row>
    <row r="910" spans="2:3" ht="15.75" customHeight="1" x14ac:dyDescent="0.3">
      <c r="B910" s="10"/>
      <c r="C910" s="2"/>
    </row>
    <row r="911" spans="2:3" ht="15.75" customHeight="1" x14ac:dyDescent="0.3">
      <c r="B911" s="10"/>
      <c r="C911" s="2"/>
    </row>
    <row r="912" spans="2:3" ht="15.75" customHeight="1" x14ac:dyDescent="0.3">
      <c r="B912" s="10"/>
      <c r="C912" s="2"/>
    </row>
    <row r="913" spans="2:3" ht="15.75" customHeight="1" x14ac:dyDescent="0.3">
      <c r="B913" s="10"/>
      <c r="C913" s="2"/>
    </row>
    <row r="914" spans="2:3" ht="15.75" customHeight="1" x14ac:dyDescent="0.3">
      <c r="B914" s="10"/>
      <c r="C914" s="2"/>
    </row>
    <row r="915" spans="2:3" ht="15.75" customHeight="1" x14ac:dyDescent="0.3">
      <c r="B915" s="10"/>
      <c r="C915" s="2"/>
    </row>
    <row r="916" spans="2:3" ht="15.75" customHeight="1" x14ac:dyDescent="0.3">
      <c r="B916" s="10"/>
      <c r="C916" s="2"/>
    </row>
    <row r="917" spans="2:3" ht="15.75" customHeight="1" x14ac:dyDescent="0.3">
      <c r="B917" s="10"/>
      <c r="C917" s="2"/>
    </row>
    <row r="918" spans="2:3" ht="15.75" customHeight="1" x14ac:dyDescent="0.3">
      <c r="B918" s="10"/>
      <c r="C918" s="2"/>
    </row>
    <row r="919" spans="2:3" ht="15.75" customHeight="1" x14ac:dyDescent="0.3">
      <c r="B919" s="10"/>
      <c r="C919" s="2"/>
    </row>
    <row r="920" spans="2:3" ht="15.75" customHeight="1" x14ac:dyDescent="0.3">
      <c r="B920" s="10"/>
      <c r="C920" s="2"/>
    </row>
    <row r="921" spans="2:3" ht="15.75" customHeight="1" x14ac:dyDescent="0.3">
      <c r="B921" s="10"/>
      <c r="C921" s="2"/>
    </row>
    <row r="922" spans="2:3" ht="15.75" customHeight="1" x14ac:dyDescent="0.3">
      <c r="B922" s="10"/>
      <c r="C922" s="2"/>
    </row>
    <row r="923" spans="2:3" ht="15.75" customHeight="1" x14ac:dyDescent="0.3">
      <c r="B923" s="10"/>
      <c r="C923" s="2"/>
    </row>
    <row r="924" spans="2:3" ht="15.75" customHeight="1" x14ac:dyDescent="0.3">
      <c r="B924" s="10"/>
      <c r="C924" s="2"/>
    </row>
    <row r="925" spans="2:3" ht="15.75" customHeight="1" x14ac:dyDescent="0.3">
      <c r="B925" s="10"/>
      <c r="C925" s="2"/>
    </row>
    <row r="926" spans="2:3" ht="15.75" customHeight="1" x14ac:dyDescent="0.3">
      <c r="B926" s="10"/>
      <c r="C926" s="2"/>
    </row>
    <row r="927" spans="2:3" ht="15.75" customHeight="1" x14ac:dyDescent="0.3">
      <c r="B927" s="10"/>
      <c r="C927" s="2"/>
    </row>
    <row r="928" spans="2:3" ht="15.75" customHeight="1" x14ac:dyDescent="0.3">
      <c r="B928" s="10"/>
      <c r="C928" s="2"/>
    </row>
    <row r="929" spans="2:3" ht="15.75" customHeight="1" x14ac:dyDescent="0.3">
      <c r="B929" s="10"/>
      <c r="C929" s="2"/>
    </row>
    <row r="930" spans="2:3" ht="15.75" customHeight="1" x14ac:dyDescent="0.3">
      <c r="B930" s="10"/>
      <c r="C930" s="2"/>
    </row>
    <row r="931" spans="2:3" ht="15.75" customHeight="1" x14ac:dyDescent="0.3">
      <c r="B931" s="10"/>
      <c r="C931" s="2"/>
    </row>
    <row r="932" spans="2:3" ht="15.75" customHeight="1" x14ac:dyDescent="0.3">
      <c r="B932" s="10"/>
      <c r="C932" s="2"/>
    </row>
    <row r="933" spans="2:3" ht="15.75" customHeight="1" x14ac:dyDescent="0.3">
      <c r="B933" s="10"/>
      <c r="C933" s="2"/>
    </row>
    <row r="934" spans="2:3" ht="15.75" customHeight="1" x14ac:dyDescent="0.3">
      <c r="B934" s="10"/>
      <c r="C934" s="2"/>
    </row>
    <row r="935" spans="2:3" ht="15.75" customHeight="1" x14ac:dyDescent="0.3">
      <c r="B935" s="10"/>
      <c r="C935" s="2"/>
    </row>
    <row r="936" spans="2:3" ht="15.75" customHeight="1" x14ac:dyDescent="0.3">
      <c r="B936" s="10"/>
      <c r="C936" s="2"/>
    </row>
    <row r="937" spans="2:3" ht="15.75" customHeight="1" x14ac:dyDescent="0.3">
      <c r="B937" s="10"/>
      <c r="C937" s="2"/>
    </row>
    <row r="938" spans="2:3" ht="15.75" customHeight="1" x14ac:dyDescent="0.3">
      <c r="B938" s="10"/>
      <c r="C938" s="2"/>
    </row>
    <row r="939" spans="2:3" ht="15.75" customHeight="1" x14ac:dyDescent="0.3">
      <c r="B939" s="10"/>
      <c r="C939" s="2"/>
    </row>
    <row r="940" spans="2:3" ht="15.75" customHeight="1" x14ac:dyDescent="0.3">
      <c r="B940" s="10"/>
      <c r="C940" s="2"/>
    </row>
    <row r="941" spans="2:3" ht="15.75" customHeight="1" x14ac:dyDescent="0.3">
      <c r="B941" s="10"/>
      <c r="C941" s="2"/>
    </row>
    <row r="942" spans="2:3" ht="15.75" customHeight="1" x14ac:dyDescent="0.3">
      <c r="B942" s="10"/>
      <c r="C942" s="2"/>
    </row>
    <row r="943" spans="2:3" ht="15.75" customHeight="1" x14ac:dyDescent="0.3">
      <c r="B943" s="10"/>
      <c r="C943" s="2"/>
    </row>
    <row r="944" spans="2:3" ht="15.75" customHeight="1" x14ac:dyDescent="0.3">
      <c r="B944" s="10"/>
      <c r="C944" s="2"/>
    </row>
    <row r="945" spans="2:3" ht="15.75" customHeight="1" x14ac:dyDescent="0.3">
      <c r="B945" s="10"/>
      <c r="C945" s="2"/>
    </row>
    <row r="946" spans="2:3" ht="15.75" customHeight="1" x14ac:dyDescent="0.3">
      <c r="B946" s="10"/>
      <c r="C946" s="2"/>
    </row>
    <row r="947" spans="2:3" ht="15.75" customHeight="1" x14ac:dyDescent="0.3">
      <c r="B947" s="10"/>
      <c r="C947" s="2"/>
    </row>
    <row r="948" spans="2:3" ht="15.75" customHeight="1" x14ac:dyDescent="0.3">
      <c r="B948" s="10"/>
      <c r="C948" s="2"/>
    </row>
    <row r="949" spans="2:3" ht="15.75" customHeight="1" x14ac:dyDescent="0.3">
      <c r="B949" s="10"/>
      <c r="C949" s="2"/>
    </row>
    <row r="950" spans="2:3" ht="15.75" customHeight="1" x14ac:dyDescent="0.3">
      <c r="B950" s="10"/>
      <c r="C950" s="2"/>
    </row>
    <row r="951" spans="2:3" ht="15.75" customHeight="1" x14ac:dyDescent="0.3">
      <c r="B951" s="10"/>
      <c r="C951" s="2"/>
    </row>
    <row r="952" spans="2:3" ht="15.75" customHeight="1" x14ac:dyDescent="0.3">
      <c r="B952" s="10"/>
      <c r="C952" s="2"/>
    </row>
    <row r="953" spans="2:3" ht="15.75" customHeight="1" x14ac:dyDescent="0.3">
      <c r="B953" s="10"/>
      <c r="C953" s="2"/>
    </row>
    <row r="954" spans="2:3" ht="15.75" customHeight="1" x14ac:dyDescent="0.3">
      <c r="B954" s="10"/>
      <c r="C954" s="2"/>
    </row>
    <row r="955" spans="2:3" ht="15.75" customHeight="1" x14ac:dyDescent="0.3">
      <c r="B955" s="10"/>
      <c r="C955" s="2"/>
    </row>
    <row r="956" spans="2:3" ht="15.75" customHeight="1" x14ac:dyDescent="0.3">
      <c r="B956" s="10"/>
      <c r="C956" s="2"/>
    </row>
    <row r="957" spans="2:3" ht="15.75" customHeight="1" x14ac:dyDescent="0.3">
      <c r="B957" s="10"/>
      <c r="C957" s="2"/>
    </row>
    <row r="958" spans="2:3" ht="15.75" customHeight="1" x14ac:dyDescent="0.3">
      <c r="B958" s="10"/>
      <c r="C958" s="2"/>
    </row>
    <row r="959" spans="2:3" ht="15.75" customHeight="1" x14ac:dyDescent="0.3">
      <c r="B959" s="10"/>
      <c r="C959" s="2"/>
    </row>
    <row r="960" spans="2:3" ht="15.75" customHeight="1" x14ac:dyDescent="0.3">
      <c r="B960" s="10"/>
      <c r="C960" s="2"/>
    </row>
    <row r="961" spans="2:3" ht="15.75" customHeight="1" x14ac:dyDescent="0.3">
      <c r="B961" s="10"/>
      <c r="C961" s="2"/>
    </row>
    <row r="962" spans="2:3" ht="15.75" customHeight="1" x14ac:dyDescent="0.3">
      <c r="B962" s="10"/>
      <c r="C962" s="2"/>
    </row>
    <row r="963" spans="2:3" ht="15.75" customHeight="1" x14ac:dyDescent="0.3">
      <c r="B963" s="10"/>
      <c r="C963" s="2"/>
    </row>
    <row r="964" spans="2:3" ht="15.75" customHeight="1" x14ac:dyDescent="0.3">
      <c r="B964" s="10"/>
      <c r="C964" s="2"/>
    </row>
    <row r="965" spans="2:3" ht="15.75" customHeight="1" x14ac:dyDescent="0.3">
      <c r="B965" s="10"/>
      <c r="C965" s="2"/>
    </row>
    <row r="966" spans="2:3" ht="15.75" customHeight="1" x14ac:dyDescent="0.3">
      <c r="B966" s="10"/>
      <c r="C966" s="2"/>
    </row>
    <row r="967" spans="2:3" ht="15.75" customHeight="1" x14ac:dyDescent="0.3">
      <c r="B967" s="10"/>
      <c r="C967" s="2"/>
    </row>
    <row r="968" spans="2:3" ht="15.75" customHeight="1" x14ac:dyDescent="0.3">
      <c r="B968" s="10"/>
      <c r="C968" s="2"/>
    </row>
    <row r="969" spans="2:3" ht="15.75" customHeight="1" x14ac:dyDescent="0.3">
      <c r="B969" s="10"/>
      <c r="C969" s="2"/>
    </row>
    <row r="970" spans="2:3" ht="15.75" customHeight="1" x14ac:dyDescent="0.3">
      <c r="B970" s="10"/>
      <c r="C970" s="2"/>
    </row>
    <row r="971" spans="2:3" ht="15.75" customHeight="1" x14ac:dyDescent="0.3">
      <c r="B971" s="10"/>
      <c r="C971" s="2"/>
    </row>
    <row r="972" spans="2:3" ht="15.75" customHeight="1" x14ac:dyDescent="0.3">
      <c r="B972" s="10"/>
      <c r="C972" s="2"/>
    </row>
    <row r="973" spans="2:3" ht="15.75" customHeight="1" x14ac:dyDescent="0.3">
      <c r="B973" s="10"/>
      <c r="C973" s="2"/>
    </row>
    <row r="974" spans="2:3" ht="15.75" customHeight="1" x14ac:dyDescent="0.3">
      <c r="B974" s="10"/>
      <c r="C974" s="2"/>
    </row>
    <row r="975" spans="2:3" ht="15.75" customHeight="1" x14ac:dyDescent="0.3">
      <c r="B975" s="10"/>
      <c r="C975" s="2"/>
    </row>
    <row r="976" spans="2:3" ht="15.75" customHeight="1" x14ac:dyDescent="0.3">
      <c r="B976" s="10"/>
      <c r="C976" s="2"/>
    </row>
    <row r="977" spans="2:3" ht="15.75" customHeight="1" x14ac:dyDescent="0.3">
      <c r="B977" s="10"/>
      <c r="C977" s="2"/>
    </row>
    <row r="978" spans="2:3" ht="15.75" customHeight="1" x14ac:dyDescent="0.3">
      <c r="B978" s="10"/>
      <c r="C978" s="2"/>
    </row>
    <row r="979" spans="2:3" ht="15.75" customHeight="1" x14ac:dyDescent="0.3">
      <c r="B979" s="10"/>
      <c r="C979" s="2"/>
    </row>
    <row r="980" spans="2:3" ht="15.75" customHeight="1" x14ac:dyDescent="0.3">
      <c r="B980" s="10"/>
      <c r="C980" s="2"/>
    </row>
    <row r="981" spans="2:3" ht="15.75" customHeight="1" x14ac:dyDescent="0.3">
      <c r="B981" s="10"/>
      <c r="C981" s="2"/>
    </row>
    <row r="982" spans="2:3" ht="15.75" customHeight="1" x14ac:dyDescent="0.3">
      <c r="B982" s="10"/>
      <c r="C982" s="2"/>
    </row>
    <row r="983" spans="2:3" ht="15.75" customHeight="1" x14ac:dyDescent="0.3">
      <c r="B983" s="10"/>
      <c r="C983" s="2"/>
    </row>
    <row r="984" spans="2:3" ht="15.75" customHeight="1" x14ac:dyDescent="0.3">
      <c r="B984" s="10"/>
      <c r="C984" s="2"/>
    </row>
    <row r="985" spans="2:3" ht="15.75" customHeight="1" x14ac:dyDescent="0.3">
      <c r="B985" s="10"/>
      <c r="C985" s="2"/>
    </row>
    <row r="986" spans="2:3" ht="15.75" customHeight="1" x14ac:dyDescent="0.3">
      <c r="B986" s="10"/>
      <c r="C986" s="2"/>
    </row>
    <row r="987" spans="2:3" ht="15.75" customHeight="1" x14ac:dyDescent="0.3">
      <c r="B987" s="10"/>
      <c r="C987" s="2"/>
    </row>
    <row r="988" spans="2:3" ht="15.75" customHeight="1" x14ac:dyDescent="0.3">
      <c r="B988" s="10"/>
      <c r="C988" s="2"/>
    </row>
    <row r="989" spans="2:3" ht="15.75" customHeight="1" x14ac:dyDescent="0.3">
      <c r="B989" s="10"/>
      <c r="C989" s="2"/>
    </row>
    <row r="990" spans="2:3" ht="15.75" customHeight="1" x14ac:dyDescent="0.3">
      <c r="B990" s="10"/>
      <c r="C990" s="2"/>
    </row>
    <row r="991" spans="2:3" ht="15.75" customHeight="1" x14ac:dyDescent="0.3">
      <c r="B991" s="10"/>
      <c r="C991" s="2"/>
    </row>
    <row r="992" spans="2:3" ht="15.75" customHeight="1" x14ac:dyDescent="0.3">
      <c r="B992" s="10"/>
      <c r="C992" s="2"/>
    </row>
    <row r="993" spans="2:3" ht="15.75" customHeight="1" x14ac:dyDescent="0.3">
      <c r="B993" s="10"/>
      <c r="C993" s="2"/>
    </row>
    <row r="994" spans="2:3" ht="15.75" customHeight="1" x14ac:dyDescent="0.3">
      <c r="B994" s="10"/>
      <c r="C994" s="2"/>
    </row>
    <row r="995" spans="2:3" ht="15.75" customHeight="1" x14ac:dyDescent="0.3">
      <c r="B995" s="10"/>
      <c r="C995" s="2"/>
    </row>
    <row r="996" spans="2:3" ht="15.75" customHeight="1" x14ac:dyDescent="0.3">
      <c r="B996" s="10"/>
      <c r="C996" s="2"/>
    </row>
    <row r="997" spans="2:3" ht="15.75" customHeight="1" x14ac:dyDescent="0.3">
      <c r="B997" s="10"/>
      <c r="C997" s="2"/>
    </row>
    <row r="998" spans="2:3" ht="15.75" customHeight="1" x14ac:dyDescent="0.3">
      <c r="B998" s="10"/>
      <c r="C998" s="2"/>
    </row>
    <row r="999" spans="2:3" ht="15.75" customHeight="1" x14ac:dyDescent="0.3">
      <c r="B999" s="10"/>
      <c r="C999" s="2"/>
    </row>
    <row r="1000" spans="2:3" ht="15.75" customHeight="1" x14ac:dyDescent="0.3">
      <c r="B1000" s="10"/>
      <c r="C1000" s="2"/>
    </row>
  </sheetData>
  <hyperlinks>
    <hyperlink ref="C3" location="null!A1" display="'Overview'!A1" xr:uid="{00000000-0004-0000-0000-000000000000}"/>
    <hyperlink ref="C4" location="'VLOOKUP Definition'!A1" display="'VLOOKUP Definition'!A1" xr:uid="{00000000-0004-0000-0000-000001000000}"/>
    <hyperlink ref="C5" location="'VLOOKUP Uses'!A1" display="'VLOOKUP Uses'!A1" xr:uid="{00000000-0004-0000-0000-000002000000}"/>
    <hyperlink ref="C6" location="'Write a VLOOKUP'!A1" display="'Write a VLOOKUP'!A1" xr:uid="{00000000-0004-0000-0000-000003000000}"/>
    <hyperlink ref="C7" location="Errors!A1" display="'Errors'!A1" xr:uid="{00000000-0004-0000-0000-000004000000}"/>
    <hyperlink ref="C8" location="'First Match &amp; Sorting'!A1" display="'First Match &amp; Sorting'!A1" xr:uid="{00000000-0004-0000-0000-000005000000}"/>
    <hyperlink ref="C9" location="Relationships!A1" display="'Relationships'!A1" xr:uid="{00000000-0004-0000-0000-000006000000}"/>
    <hyperlink ref="C10" location="'Lookup Tables'!A1" display="'Lookup Tables'!A1" xr:uid="{00000000-0004-0000-0000-00000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3.88671875" customWidth="1"/>
    <col min="2" max="26" width="9.109375" customWidth="1"/>
  </cols>
  <sheetData>
    <row r="1" spans="1:26" ht="14.4" x14ac:dyDescent="0.3">
      <c r="A1" s="5"/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4" x14ac:dyDescent="0.3">
      <c r="A3" s="1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4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4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4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4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4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4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4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A50" s="10"/>
      <c r="B50" s="36"/>
      <c r="C50" s="37"/>
      <c r="D50" s="37"/>
      <c r="E50" s="37"/>
      <c r="F50" s="37"/>
      <c r="G50" s="37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B50:G50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2.6640625" customWidth="1"/>
    <col min="2" max="2" width="21.6640625" customWidth="1"/>
    <col min="3" max="3" width="13.6640625" customWidth="1"/>
    <col min="4" max="4" width="11.5546875" customWidth="1"/>
    <col min="5" max="26" width="8.6640625" customWidth="1"/>
  </cols>
  <sheetData>
    <row r="1" spans="1:26" ht="20.25" customHeight="1" x14ac:dyDescent="0.35">
      <c r="A1" s="6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18" x14ac:dyDescent="0.35">
      <c r="A3" s="14"/>
      <c r="B3" s="16" t="s">
        <v>14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21" spans="1:26" ht="15.75" customHeight="1" x14ac:dyDescent="0.3"/>
    <row r="22" spans="1:26" ht="15.75" customHeight="1" x14ac:dyDescent="0.3"/>
    <row r="23" spans="1:26" ht="15.75" customHeight="1" x14ac:dyDescent="0.3"/>
    <row r="24" spans="1:26" ht="15.75" customHeight="1" x14ac:dyDescent="0.35">
      <c r="A24" s="14"/>
      <c r="B24" s="16" t="s">
        <v>26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3"/>
    <row r="26" spans="1:26" ht="15.75" customHeight="1" x14ac:dyDescent="0.3">
      <c r="B26" s="10"/>
    </row>
    <row r="27" spans="1:26" ht="15.75" customHeight="1" x14ac:dyDescent="0.3"/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spans="1:26" ht="15.75" customHeight="1" x14ac:dyDescent="0.3"/>
    <row r="34" spans="1:26" ht="15.75" customHeight="1" x14ac:dyDescent="0.3"/>
    <row r="35" spans="1:26" ht="15.75" customHeight="1" x14ac:dyDescent="0.3"/>
    <row r="36" spans="1:26" ht="15.75" customHeight="1" x14ac:dyDescent="0.3"/>
    <row r="37" spans="1:26" ht="15.75" customHeight="1" x14ac:dyDescent="0.3"/>
    <row r="38" spans="1:26" ht="15.75" customHeight="1" x14ac:dyDescent="0.3"/>
    <row r="39" spans="1:26" ht="15.75" customHeight="1" x14ac:dyDescent="0.3"/>
    <row r="40" spans="1:26" ht="15.75" customHeight="1" x14ac:dyDescent="0.3"/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>
      <c r="A44" s="20" t="s">
        <v>29</v>
      </c>
    </row>
    <row r="45" spans="1:26" ht="15.75" customHeight="1" x14ac:dyDescent="0.3">
      <c r="A45" s="10"/>
    </row>
    <row r="46" spans="1:26" ht="15.75" customHeight="1" x14ac:dyDescent="0.35">
      <c r="A46" s="14"/>
      <c r="B46" s="16" t="s">
        <v>30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spans="1:26" ht="15.75" customHeight="1" x14ac:dyDescent="0.3"/>
    <row r="66" spans="1:26" ht="15.75" customHeight="1" x14ac:dyDescent="0.3">
      <c r="A66" s="20" t="s">
        <v>29</v>
      </c>
    </row>
    <row r="67" spans="1:26" ht="15.75" customHeight="1" x14ac:dyDescent="0.3"/>
    <row r="68" spans="1:26" ht="15.75" customHeight="1" x14ac:dyDescent="0.35">
      <c r="A68" s="14"/>
      <c r="B68" s="16" t="s">
        <v>31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3"/>
    <row r="70" spans="1:26" ht="15.75" customHeight="1" x14ac:dyDescent="0.3"/>
    <row r="71" spans="1:26" ht="15.75" customHeight="1" x14ac:dyDescent="0.3"/>
    <row r="72" spans="1:26" ht="15.75" customHeight="1" x14ac:dyDescent="0.3"/>
    <row r="73" spans="1:26" ht="15.75" customHeight="1" x14ac:dyDescent="0.3"/>
    <row r="74" spans="1:26" ht="15.75" customHeight="1" x14ac:dyDescent="0.3"/>
    <row r="75" spans="1:26" ht="15.75" customHeight="1" x14ac:dyDescent="0.3"/>
    <row r="76" spans="1:26" ht="15.75" customHeight="1" x14ac:dyDescent="0.3"/>
    <row r="77" spans="1:26" ht="15.75" customHeight="1" x14ac:dyDescent="0.3"/>
    <row r="78" spans="1:26" ht="15.75" customHeight="1" x14ac:dyDescent="0.3"/>
    <row r="79" spans="1:26" ht="15.75" customHeight="1" x14ac:dyDescent="0.3"/>
    <row r="80" spans="1:26" ht="15.75" customHeight="1" x14ac:dyDescent="0.3"/>
    <row r="81" spans="1:11" ht="15.75" customHeight="1" x14ac:dyDescent="0.3"/>
    <row r="82" spans="1:11" ht="15.75" customHeight="1" x14ac:dyDescent="0.3"/>
    <row r="83" spans="1:11" ht="15.75" customHeight="1" x14ac:dyDescent="0.3"/>
    <row r="84" spans="1:11" ht="15.75" customHeight="1" x14ac:dyDescent="0.3"/>
    <row r="85" spans="1:11" ht="15.75" customHeight="1" x14ac:dyDescent="0.3"/>
    <row r="86" spans="1:11" ht="15.75" customHeight="1" x14ac:dyDescent="0.3"/>
    <row r="87" spans="1:11" ht="15.75" customHeight="1" x14ac:dyDescent="0.3"/>
    <row r="88" spans="1:11" ht="15.75" customHeight="1" x14ac:dyDescent="0.3">
      <c r="A88" s="20" t="s">
        <v>29</v>
      </c>
    </row>
    <row r="89" spans="1:11" ht="15.75" customHeight="1" x14ac:dyDescent="0.3">
      <c r="K89" s="20" t="s">
        <v>29</v>
      </c>
    </row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25.5546875" customWidth="1"/>
    <col min="2" max="6" width="9.109375" customWidth="1"/>
    <col min="7" max="26" width="8.6640625" customWidth="1"/>
  </cols>
  <sheetData>
    <row r="1" spans="1:26" ht="20.25" customHeight="1" x14ac:dyDescent="0.35">
      <c r="A1" s="6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">
      <c r="A3" s="11" t="s">
        <v>5</v>
      </c>
      <c r="B3" s="12" t="s">
        <v>6</v>
      </c>
      <c r="C3" s="12" t="s">
        <v>8</v>
      </c>
      <c r="D3" s="12" t="s">
        <v>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">
      <c r="A4" s="10" t="s">
        <v>10</v>
      </c>
      <c r="B4" s="13">
        <v>2.95</v>
      </c>
      <c r="C4" s="13">
        <v>3.75</v>
      </c>
      <c r="D4" s="13">
        <v>4.1500000000000004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">
      <c r="A5" s="10" t="s">
        <v>11</v>
      </c>
      <c r="B5" s="13">
        <v>2.95</v>
      </c>
      <c r="C5" s="13">
        <v>3.65</v>
      </c>
      <c r="D5" s="13">
        <v>4.1500000000000004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">
      <c r="A6" s="10" t="s">
        <v>12</v>
      </c>
      <c r="B6" s="13">
        <v>3.75</v>
      </c>
      <c r="C6" s="13">
        <v>3.95</v>
      </c>
      <c r="D6" s="13">
        <v>4.25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">
      <c r="A7" s="10" t="s">
        <v>15</v>
      </c>
      <c r="B7" s="13">
        <v>3.25</v>
      </c>
      <c r="C7" s="13">
        <v>3.95</v>
      </c>
      <c r="D7" s="13">
        <v>4.4000000000000004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">
      <c r="A8" s="10" t="s">
        <v>18</v>
      </c>
      <c r="B8" s="13">
        <v>3.45</v>
      </c>
      <c r="C8" s="13">
        <v>4.1500000000000004</v>
      </c>
      <c r="D8" s="13">
        <v>4.55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">
      <c r="A9" s="10" t="s">
        <v>20</v>
      </c>
      <c r="B9" s="13">
        <v>2</v>
      </c>
      <c r="C9" s="13">
        <v>2.4</v>
      </c>
      <c r="D9" s="13">
        <v>2.75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">
      <c r="A10" s="10" t="s">
        <v>23</v>
      </c>
      <c r="B10" s="13">
        <v>3.95</v>
      </c>
      <c r="C10" s="13">
        <v>4.75</v>
      </c>
      <c r="D10" s="13">
        <v>5.15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">
      <c r="A11" s="10" t="s">
        <v>24</v>
      </c>
      <c r="B11" s="13">
        <v>1.75</v>
      </c>
      <c r="C11" s="13">
        <v>1.95</v>
      </c>
      <c r="D11" s="13">
        <v>2.0499999999999998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">
      <c r="A13" s="19" t="s">
        <v>28</v>
      </c>
      <c r="B13" s="22"/>
      <c r="C13" s="22"/>
      <c r="D13" s="2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7.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4" x14ac:dyDescent="0.3">
      <c r="A15" s="2" t="s">
        <v>15</v>
      </c>
      <c r="B15" s="23">
        <f>VLOOKUP(A15,$A$4:$D$11,3,0)</f>
        <v>3.95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21" sqref="D21"/>
    </sheetView>
  </sheetViews>
  <sheetFormatPr defaultColWidth="14.44140625" defaultRowHeight="15" customHeight="1" x14ac:dyDescent="0.3"/>
  <cols>
    <col min="1" max="1" width="25.5546875" customWidth="1"/>
    <col min="2" max="4" width="9.109375" customWidth="1"/>
    <col min="5" max="5" width="5" customWidth="1"/>
    <col min="6" max="6" width="18" customWidth="1"/>
    <col min="7" max="26" width="8.6640625" customWidth="1"/>
  </cols>
  <sheetData>
    <row r="1" spans="1:26" ht="20.25" customHeight="1" x14ac:dyDescent="0.35">
      <c r="A1" s="6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">
      <c r="A3" s="11" t="s">
        <v>5</v>
      </c>
      <c r="B3" s="12" t="s">
        <v>6</v>
      </c>
      <c r="C3" s="12" t="s">
        <v>8</v>
      </c>
      <c r="D3" s="12" t="s">
        <v>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">
      <c r="A4" s="10" t="s">
        <v>10</v>
      </c>
      <c r="B4" s="13">
        <v>2.95</v>
      </c>
      <c r="C4" s="13">
        <v>3.75</v>
      </c>
      <c r="D4" s="13">
        <v>4.1500000000000004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">
      <c r="A5" s="10" t="s">
        <v>11</v>
      </c>
      <c r="B5" s="13">
        <v>2.95</v>
      </c>
      <c r="C5" s="13">
        <v>3.65</v>
      </c>
      <c r="D5" s="13">
        <v>4.1500000000000004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">
      <c r="A6" s="10" t="s">
        <v>12</v>
      </c>
      <c r="B6" s="13">
        <v>3.75</v>
      </c>
      <c r="C6" s="13">
        <v>3.95</v>
      </c>
      <c r="D6" s="13">
        <v>4.25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">
      <c r="A7" s="10" t="s">
        <v>15</v>
      </c>
      <c r="B7" s="13">
        <v>3.25</v>
      </c>
      <c r="C7" s="13">
        <v>3.95</v>
      </c>
      <c r="D7" s="13">
        <v>4.4000000000000004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">
      <c r="A8" s="10" t="s">
        <v>18</v>
      </c>
      <c r="B8" s="13">
        <v>3.45</v>
      </c>
      <c r="C8" s="13">
        <v>4.1500000000000004</v>
      </c>
      <c r="D8" s="13">
        <v>4.55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">
      <c r="A9" s="10" t="s">
        <v>20</v>
      </c>
      <c r="B9" s="13">
        <v>2</v>
      </c>
      <c r="C9" s="13">
        <v>2.4</v>
      </c>
      <c r="D9" s="13">
        <v>2.75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">
      <c r="A10" s="10" t="s">
        <v>23</v>
      </c>
      <c r="B10" s="13">
        <v>3.95</v>
      </c>
      <c r="C10" s="13">
        <v>4.75</v>
      </c>
      <c r="D10" s="13">
        <v>5.15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">
      <c r="A11" s="10" t="s">
        <v>24</v>
      </c>
      <c r="B11" s="13">
        <v>1.75</v>
      </c>
      <c r="C11" s="13">
        <v>1.95</v>
      </c>
      <c r="D11" s="13">
        <v>2.0499999999999998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">
      <c r="A13" s="19" t="s">
        <v>33</v>
      </c>
      <c r="B13" s="22"/>
      <c r="C13" s="22"/>
      <c r="D13" s="2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7.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3">
      <c r="A15" s="10"/>
      <c r="B15" s="11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 x14ac:dyDescent="0.3">
      <c r="A16" s="10" t="s">
        <v>18</v>
      </c>
      <c r="B16" s="24">
        <f>VLOOKUP(A16,$A$4:$D$11,3,0)</f>
        <v>4.1500000000000004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 x14ac:dyDescent="0.3">
      <c r="A17" s="25" t="s">
        <v>10</v>
      </c>
      <c r="B17" s="24">
        <f t="shared" ref="B17:B19" si="0">VLOOKUP(A17,$A$4:$D$11,3,0)</f>
        <v>3.75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 x14ac:dyDescent="0.3">
      <c r="A18" s="10" t="s">
        <v>12</v>
      </c>
      <c r="B18" s="24">
        <f t="shared" si="0"/>
        <v>3.95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 x14ac:dyDescent="0.3">
      <c r="A19" s="10" t="s">
        <v>15</v>
      </c>
      <c r="B19" s="24">
        <f t="shared" si="0"/>
        <v>3.95</v>
      </c>
      <c r="C19" s="10"/>
      <c r="D19" s="10" t="s">
        <v>126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 x14ac:dyDescent="0.3">
      <c r="A20" s="26" t="s">
        <v>35</v>
      </c>
      <c r="B20" s="27">
        <f>SUM(B16:B19)</f>
        <v>15.8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25.5546875" customWidth="1"/>
    <col min="2" max="6" width="9.109375" customWidth="1"/>
    <col min="7" max="26" width="8.6640625" customWidth="1"/>
  </cols>
  <sheetData>
    <row r="1" spans="1:26" ht="20.25" customHeight="1" x14ac:dyDescent="0.35">
      <c r="A1" s="6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">
      <c r="A3" s="11" t="s">
        <v>5</v>
      </c>
      <c r="B3" s="12" t="s">
        <v>6</v>
      </c>
      <c r="C3" s="12" t="s">
        <v>8</v>
      </c>
      <c r="D3" s="12" t="s">
        <v>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">
      <c r="A4" s="10" t="s">
        <v>10</v>
      </c>
      <c r="B4" s="13">
        <v>2.95</v>
      </c>
      <c r="C4" s="13">
        <v>3.75</v>
      </c>
      <c r="D4" s="13">
        <v>4.1500000000000004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">
      <c r="A5" s="10" t="s">
        <v>11</v>
      </c>
      <c r="B5" s="13">
        <v>2.95</v>
      </c>
      <c r="C5" s="13">
        <v>3.65</v>
      </c>
      <c r="D5" s="13">
        <v>4.1500000000000004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">
      <c r="A6" s="10" t="s">
        <v>18</v>
      </c>
      <c r="B6" s="13">
        <v>3.45</v>
      </c>
      <c r="C6" s="13">
        <v>4.1500000000000004</v>
      </c>
      <c r="D6" s="13">
        <v>4.55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">
      <c r="A7" s="28" t="s">
        <v>15</v>
      </c>
      <c r="B7" s="13">
        <v>3.25</v>
      </c>
      <c r="C7" s="13">
        <v>3.95</v>
      </c>
      <c r="D7" s="13">
        <v>4.4000000000000004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">
      <c r="A8" s="10" t="s">
        <v>12</v>
      </c>
      <c r="B8" s="13">
        <v>3.75</v>
      </c>
      <c r="C8" s="13">
        <v>3.95</v>
      </c>
      <c r="D8" s="13">
        <v>4.25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">
      <c r="A9" s="28" t="s">
        <v>15</v>
      </c>
      <c r="B9" s="13">
        <v>2.25</v>
      </c>
      <c r="C9" s="13">
        <v>2.5</v>
      </c>
      <c r="D9" s="13">
        <v>2.75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">
      <c r="A10" s="10" t="s">
        <v>23</v>
      </c>
      <c r="B10" s="13">
        <v>3.95</v>
      </c>
      <c r="C10" s="13">
        <v>4.75</v>
      </c>
      <c r="D10" s="13">
        <v>5.15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">
      <c r="A11" s="10" t="s">
        <v>37</v>
      </c>
      <c r="B11" s="13">
        <v>2.25</v>
      </c>
      <c r="C11" s="13">
        <v>2.5</v>
      </c>
      <c r="D11" s="13">
        <v>2.75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">
      <c r="A12" s="10" t="s">
        <v>24</v>
      </c>
      <c r="B12" s="13">
        <v>1.75</v>
      </c>
      <c r="C12" s="13">
        <v>1.95</v>
      </c>
      <c r="D12" s="13">
        <v>2.0499999999999998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">
      <c r="A14" s="19" t="s">
        <v>28</v>
      </c>
      <c r="B14" s="22"/>
      <c r="C14" s="22"/>
      <c r="D14" s="2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7.5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 x14ac:dyDescent="0.3">
      <c r="A16" s="10" t="s">
        <v>15</v>
      </c>
      <c r="B16" s="29">
        <f>VLOOKUP(A16,A4:D12,3,0)</f>
        <v>3.95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selection activeCell="K22" sqref="K22"/>
    </sheetView>
  </sheetViews>
  <sheetFormatPr defaultColWidth="14.44140625" defaultRowHeight="15" customHeight="1" x14ac:dyDescent="0.3"/>
  <cols>
    <col min="1" max="1" width="8.44140625" customWidth="1"/>
    <col min="2" max="2" width="14.109375" customWidth="1"/>
    <col min="3" max="3" width="16.44140625" customWidth="1"/>
    <col min="4" max="4" width="21" customWidth="1"/>
    <col min="5" max="5" width="11.109375" customWidth="1"/>
    <col min="6" max="6" width="20.33203125" customWidth="1"/>
    <col min="7" max="7" width="14.6640625" customWidth="1"/>
    <col min="8" max="26" width="8.6640625" customWidth="1"/>
  </cols>
  <sheetData>
    <row r="1" spans="1:26" ht="20.25" customHeight="1" x14ac:dyDescent="0.35">
      <c r="A1" s="6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14.4" x14ac:dyDescent="0.3">
      <c r="A3" s="30" t="s">
        <v>39</v>
      </c>
      <c r="B3" s="30" t="s">
        <v>40</v>
      </c>
      <c r="C3" s="30" t="s">
        <v>41</v>
      </c>
      <c r="D3" s="30" t="s">
        <v>42</v>
      </c>
      <c r="E3" s="30" t="s">
        <v>43</v>
      </c>
      <c r="F3" s="31" t="s">
        <v>44</v>
      </c>
      <c r="G3" s="32" t="s">
        <v>45</v>
      </c>
    </row>
    <row r="4" spans="1:26" ht="14.4" x14ac:dyDescent="0.3">
      <c r="A4" s="33">
        <v>1001</v>
      </c>
      <c r="B4" s="33">
        <v>27</v>
      </c>
      <c r="C4" s="33" t="s">
        <v>46</v>
      </c>
      <c r="D4" s="33" t="s">
        <v>47</v>
      </c>
      <c r="E4" s="34">
        <v>686</v>
      </c>
      <c r="F4" t="str">
        <f>VLOOKUP(Relationships!D4,'Lookup Tables'!$A$4:$B$20,2,0)</f>
        <v>Beverages</v>
      </c>
      <c r="G4" t="str">
        <f>VLOOKUP(C4,'Lookup Tables'!$E$4:$K$11,7,0)</f>
        <v>West</v>
      </c>
    </row>
    <row r="5" spans="1:26" ht="14.4" x14ac:dyDescent="0.3">
      <c r="A5" s="33">
        <v>1002</v>
      </c>
      <c r="B5" s="33">
        <v>27</v>
      </c>
      <c r="C5" s="33" t="s">
        <v>46</v>
      </c>
      <c r="D5" s="33" t="s">
        <v>48</v>
      </c>
      <c r="E5" s="34">
        <v>164.5</v>
      </c>
      <c r="F5" t="str">
        <f>VLOOKUP(Relationships!D5,'Lookup Tables'!$A$4:$B$20,2,0)</f>
        <v>Dried Fruit &amp; Nuts</v>
      </c>
      <c r="G5" t="str">
        <f>VLOOKUP(C5,'Lookup Tables'!$E$4:$K$11,7,0)</f>
        <v>West</v>
      </c>
    </row>
    <row r="6" spans="1:26" ht="14.4" x14ac:dyDescent="0.3">
      <c r="A6" s="33">
        <v>1003</v>
      </c>
      <c r="B6" s="33">
        <v>4</v>
      </c>
      <c r="C6" s="33" t="s">
        <v>49</v>
      </c>
      <c r="D6" s="33" t="s">
        <v>50</v>
      </c>
      <c r="E6" s="34">
        <v>2070</v>
      </c>
      <c r="F6" t="str">
        <f>VLOOKUP(Relationships!D6,'Lookup Tables'!$A$4:$B$20,2,0)</f>
        <v>Dried Fruit &amp; Nuts</v>
      </c>
      <c r="G6" t="str">
        <f>VLOOKUP(C6,'Lookup Tables'!$E$4:$K$11,7,0)</f>
        <v>East</v>
      </c>
    </row>
    <row r="7" spans="1:26" ht="14.4" x14ac:dyDescent="0.3">
      <c r="A7" s="33">
        <v>1004</v>
      </c>
      <c r="B7" s="33">
        <v>4</v>
      </c>
      <c r="C7" s="33" t="s">
        <v>49</v>
      </c>
      <c r="D7" s="33" t="s">
        <v>51</v>
      </c>
      <c r="E7" s="34">
        <v>4717</v>
      </c>
      <c r="F7" t="str">
        <f>VLOOKUP(Relationships!D7,'Lookup Tables'!$A$4:$B$20,2,0)</f>
        <v>Dried Fruit &amp; Nuts</v>
      </c>
      <c r="G7" t="str">
        <f>VLOOKUP(C7,'Lookup Tables'!$E$4:$K$11,7,0)</f>
        <v>East</v>
      </c>
    </row>
    <row r="8" spans="1:26" ht="14.4" x14ac:dyDescent="0.3">
      <c r="A8" s="33">
        <v>1005</v>
      </c>
      <c r="B8" s="33">
        <v>4</v>
      </c>
      <c r="C8" s="33" t="s">
        <v>49</v>
      </c>
      <c r="D8" s="33" t="s">
        <v>48</v>
      </c>
      <c r="E8" s="34">
        <v>38.5</v>
      </c>
      <c r="F8" t="str">
        <f>VLOOKUP(Relationships!D8,'Lookup Tables'!$A$4:$B$20,2,0)</f>
        <v>Dried Fruit &amp; Nuts</v>
      </c>
      <c r="G8" t="str">
        <f>VLOOKUP(C8,'Lookup Tables'!$E$4:$K$11,7,0)</f>
        <v>East</v>
      </c>
    </row>
    <row r="9" spans="1:26" ht="14.4" x14ac:dyDescent="0.3">
      <c r="A9" s="33">
        <v>1006</v>
      </c>
      <c r="B9" s="33">
        <v>12</v>
      </c>
      <c r="C9" s="33" t="s">
        <v>46</v>
      </c>
      <c r="D9" s="33" t="s">
        <v>52</v>
      </c>
      <c r="E9" s="34">
        <v>1458</v>
      </c>
      <c r="F9" t="str">
        <f>VLOOKUP(Relationships!D9,'Lookup Tables'!$A$4:$B$20,2,0)</f>
        <v>Beverages</v>
      </c>
      <c r="G9" t="str">
        <f>VLOOKUP(C9,'Lookup Tables'!$E$4:$K$11,7,0)</f>
        <v>West</v>
      </c>
    </row>
    <row r="10" spans="1:26" ht="14.4" x14ac:dyDescent="0.3">
      <c r="A10" s="33">
        <v>1007</v>
      </c>
      <c r="B10" s="33">
        <v>12</v>
      </c>
      <c r="C10" s="33" t="s">
        <v>46</v>
      </c>
      <c r="D10" s="33" t="s">
        <v>53</v>
      </c>
      <c r="E10" s="34">
        <v>2024</v>
      </c>
      <c r="F10" t="str">
        <f>VLOOKUP(Relationships!D10,'Lookup Tables'!$A$4:$B$20,2,0)</f>
        <v>Beverages</v>
      </c>
      <c r="G10" t="str">
        <f>VLOOKUP(C10,'Lookup Tables'!$E$4:$K$11,7,0)</f>
        <v>West</v>
      </c>
    </row>
    <row r="11" spans="1:26" ht="14.4" x14ac:dyDescent="0.3">
      <c r="A11" s="33">
        <v>1008</v>
      </c>
      <c r="B11" s="33">
        <v>8</v>
      </c>
      <c r="C11" s="33" t="s">
        <v>54</v>
      </c>
      <c r="D11" s="33" t="s">
        <v>55</v>
      </c>
      <c r="E11" s="34">
        <v>349.59999999999997</v>
      </c>
      <c r="F11" t="str">
        <f>VLOOKUP(Relationships!D11,'Lookup Tables'!$A$4:$B$20,2,0)</f>
        <v>Baked Goods &amp; Mixes</v>
      </c>
      <c r="G11" t="str">
        <f>VLOOKUP(C11,'Lookup Tables'!$E$4:$K$11,7,0)</f>
        <v>North</v>
      </c>
    </row>
    <row r="12" spans="1:26" ht="14.4" x14ac:dyDescent="0.3">
      <c r="A12" s="33">
        <v>1009</v>
      </c>
      <c r="B12" s="33">
        <v>4</v>
      </c>
      <c r="C12" s="33" t="s">
        <v>49</v>
      </c>
      <c r="D12" s="33" t="s">
        <v>55</v>
      </c>
      <c r="E12" s="34">
        <v>809.59999999999991</v>
      </c>
      <c r="F12" t="str">
        <f>VLOOKUP(Relationships!D12,'Lookup Tables'!$A$4:$B$20,2,0)</f>
        <v>Baked Goods &amp; Mixes</v>
      </c>
      <c r="G12" t="str">
        <f>VLOOKUP(C12,'Lookup Tables'!$E$4:$K$11,7,0)</f>
        <v>East</v>
      </c>
    </row>
    <row r="13" spans="1:26" ht="14.4" x14ac:dyDescent="0.3">
      <c r="A13" s="33">
        <v>1010</v>
      </c>
      <c r="B13" s="33">
        <v>29</v>
      </c>
      <c r="C13" s="33" t="s">
        <v>56</v>
      </c>
      <c r="D13" s="33" t="s">
        <v>57</v>
      </c>
      <c r="E13" s="34">
        <v>1198.5</v>
      </c>
      <c r="F13" t="str">
        <f>VLOOKUP(Relationships!D13,'Lookup Tables'!$A$4:$B$20,2,0)</f>
        <v>Candy</v>
      </c>
      <c r="G13" t="str">
        <f>VLOOKUP(C13,'Lookup Tables'!$E$4:$K$11,7,0)</f>
        <v>West</v>
      </c>
    </row>
    <row r="14" spans="1:26" ht="14.4" x14ac:dyDescent="0.3">
      <c r="A14" s="33">
        <v>1011</v>
      </c>
      <c r="B14" s="33">
        <v>3</v>
      </c>
      <c r="C14" s="33" t="s">
        <v>46</v>
      </c>
      <c r="D14" s="33" t="s">
        <v>58</v>
      </c>
      <c r="E14" s="34">
        <v>878.15</v>
      </c>
      <c r="F14" t="str">
        <f>VLOOKUP(Relationships!D14,'Lookup Tables'!$A$4:$B$20,2,0)</f>
        <v>Soups</v>
      </c>
      <c r="G14" t="str">
        <f>VLOOKUP(C14,'Lookup Tables'!$E$4:$K$11,7,0)</f>
        <v>West</v>
      </c>
    </row>
    <row r="15" spans="1:26" ht="14.4" x14ac:dyDescent="0.3">
      <c r="A15" s="33">
        <v>1012</v>
      </c>
      <c r="B15" s="33">
        <v>6</v>
      </c>
      <c r="C15" s="33" t="s">
        <v>59</v>
      </c>
      <c r="D15" s="33" t="s">
        <v>60</v>
      </c>
      <c r="E15" s="34">
        <v>1280</v>
      </c>
      <c r="F15" t="str">
        <f>VLOOKUP(Relationships!D15,'Lookup Tables'!$A$4:$B$20,2,0)</f>
        <v>Sauces</v>
      </c>
      <c r="G15" t="str">
        <f>VLOOKUP(C15,'Lookup Tables'!$E$4:$K$11,7,0)</f>
        <v>North</v>
      </c>
    </row>
    <row r="16" spans="1:26" ht="14.4" x14ac:dyDescent="0.3">
      <c r="A16" s="33">
        <v>1013</v>
      </c>
      <c r="B16" s="33">
        <v>28</v>
      </c>
      <c r="C16" s="33" t="s">
        <v>61</v>
      </c>
      <c r="D16" s="33" t="s">
        <v>53</v>
      </c>
      <c r="E16" s="34">
        <v>2530</v>
      </c>
      <c r="F16" t="str">
        <f>VLOOKUP(Relationships!D16,'Lookup Tables'!$A$4:$B$20,2,0)</f>
        <v>Beverages</v>
      </c>
      <c r="G16" t="str">
        <f>VLOOKUP(C16,'Lookup Tables'!$E$4:$K$11,7,0)</f>
        <v>South</v>
      </c>
    </row>
    <row r="17" spans="1:7" ht="14.4" x14ac:dyDescent="0.3">
      <c r="A17" s="33">
        <v>1014</v>
      </c>
      <c r="B17" s="33">
        <v>8</v>
      </c>
      <c r="C17" s="33" t="s">
        <v>54</v>
      </c>
      <c r="D17" s="33" t="s">
        <v>57</v>
      </c>
      <c r="E17" s="34">
        <v>599.25</v>
      </c>
      <c r="F17" t="str">
        <f>VLOOKUP(Relationships!D17,'Lookup Tables'!$A$4:$B$20,2,0)</f>
        <v>Candy</v>
      </c>
      <c r="G17" t="str">
        <f>VLOOKUP(C17,'Lookup Tables'!$E$4:$K$11,7,0)</f>
        <v>North</v>
      </c>
    </row>
    <row r="18" spans="1:7" ht="14.4" x14ac:dyDescent="0.3">
      <c r="A18" s="33">
        <v>1015</v>
      </c>
      <c r="B18" s="33">
        <v>10</v>
      </c>
      <c r="C18" s="33" t="s">
        <v>62</v>
      </c>
      <c r="D18" s="33" t="s">
        <v>63</v>
      </c>
      <c r="E18" s="34">
        <v>269.10000000000002</v>
      </c>
      <c r="F18" t="str">
        <f>VLOOKUP(Relationships!D18,'Lookup Tables'!$A$4:$B$20,2,0)</f>
        <v>Beverages</v>
      </c>
      <c r="G18" t="str">
        <f>VLOOKUP(C18,'Lookup Tables'!$E$4:$K$11,7,0)</f>
        <v>East</v>
      </c>
    </row>
    <row r="19" spans="1:7" ht="14.4" x14ac:dyDescent="0.3">
      <c r="A19" s="33">
        <v>1016</v>
      </c>
      <c r="B19" s="33">
        <v>7</v>
      </c>
      <c r="C19" s="33" t="s">
        <v>54</v>
      </c>
      <c r="D19" s="33" t="s">
        <v>53</v>
      </c>
      <c r="E19" s="34">
        <v>1104</v>
      </c>
      <c r="F19" t="str">
        <f>VLOOKUP(Relationships!D19,'Lookup Tables'!$A$4:$B$20,2,0)</f>
        <v>Beverages</v>
      </c>
      <c r="G19" t="str">
        <f>VLOOKUP(C19,'Lookup Tables'!$E$4:$K$11,7,0)</f>
        <v>North</v>
      </c>
    </row>
    <row r="20" spans="1:7" ht="14.4" x14ac:dyDescent="0.3">
      <c r="A20" s="33">
        <v>1017</v>
      </c>
      <c r="B20" s="33">
        <v>10</v>
      </c>
      <c r="C20" s="33" t="s">
        <v>62</v>
      </c>
      <c r="D20" s="33" t="s">
        <v>64</v>
      </c>
      <c r="E20" s="34">
        <v>850</v>
      </c>
      <c r="F20" t="str">
        <f>VLOOKUP(Relationships!D20,'Lookup Tables'!$A$4:$B$20,2,0)</f>
        <v>Jams, Preserves</v>
      </c>
      <c r="G20" t="str">
        <f>VLOOKUP(C20,'Lookup Tables'!$E$4:$K$11,7,0)</f>
        <v>East</v>
      </c>
    </row>
    <row r="21" spans="1:7" ht="15.75" customHeight="1" x14ac:dyDescent="0.3">
      <c r="A21" s="33">
        <v>1018</v>
      </c>
      <c r="B21" s="33">
        <v>10</v>
      </c>
      <c r="C21" s="33" t="s">
        <v>62</v>
      </c>
      <c r="D21" s="33" t="s">
        <v>65</v>
      </c>
      <c r="E21" s="34">
        <v>374</v>
      </c>
      <c r="F21" t="str">
        <f>VLOOKUP(Relationships!D21,'Lookup Tables'!$A$4:$B$20,2,0)</f>
        <v>Condiments</v>
      </c>
      <c r="G21" t="str">
        <f>VLOOKUP(C21,'Lookup Tables'!$E$4:$K$11,7,0)</f>
        <v>East</v>
      </c>
    </row>
    <row r="22" spans="1:7" ht="15.75" customHeight="1" x14ac:dyDescent="0.3">
      <c r="A22" s="33">
        <v>1019</v>
      </c>
      <c r="B22" s="33">
        <v>10</v>
      </c>
      <c r="C22" s="33" t="s">
        <v>62</v>
      </c>
      <c r="D22" s="33" t="s">
        <v>55</v>
      </c>
      <c r="E22" s="34">
        <v>404.79999999999995</v>
      </c>
      <c r="F22" t="str">
        <f>VLOOKUP(Relationships!D22,'Lookup Tables'!$A$4:$B$20,2,0)</f>
        <v>Baked Goods &amp; Mixes</v>
      </c>
      <c r="G22" t="str">
        <f>VLOOKUP(C22,'Lookup Tables'!$E$4:$K$11,7,0)</f>
        <v>East</v>
      </c>
    </row>
    <row r="23" spans="1:7" ht="15.75" customHeight="1" x14ac:dyDescent="0.3">
      <c r="A23" s="33">
        <v>1020</v>
      </c>
      <c r="B23" s="33">
        <v>11</v>
      </c>
      <c r="C23" s="33" t="s">
        <v>61</v>
      </c>
      <c r="D23" s="33" t="s">
        <v>48</v>
      </c>
      <c r="E23" s="34">
        <v>283.5</v>
      </c>
      <c r="F23" t="str">
        <f>VLOOKUP(Relationships!D23,'Lookup Tables'!$A$4:$B$20,2,0)</f>
        <v>Dried Fruit &amp; Nuts</v>
      </c>
      <c r="G23" t="str">
        <f>VLOOKUP(C23,'Lookup Tables'!$E$4:$K$11,7,0)</f>
        <v>South</v>
      </c>
    </row>
    <row r="24" spans="1:7" ht="15.75" customHeight="1" x14ac:dyDescent="0.3">
      <c r="A24" s="33">
        <v>1021</v>
      </c>
      <c r="B24" s="33">
        <v>11</v>
      </c>
      <c r="C24" s="33" t="s">
        <v>61</v>
      </c>
      <c r="D24" s="33" t="s">
        <v>63</v>
      </c>
      <c r="E24" s="34">
        <v>146.51000000000002</v>
      </c>
      <c r="F24" t="str">
        <f>VLOOKUP(Relationships!D24,'Lookup Tables'!$A$4:$B$20,2,0)</f>
        <v>Beverages</v>
      </c>
      <c r="G24" t="str">
        <f>VLOOKUP(C24,'Lookup Tables'!$E$4:$K$11,7,0)</f>
        <v>South</v>
      </c>
    </row>
    <row r="25" spans="1:7" ht="15.75" customHeight="1" x14ac:dyDescent="0.3">
      <c r="A25" s="33">
        <v>1022</v>
      </c>
      <c r="B25" s="33">
        <v>1</v>
      </c>
      <c r="C25" s="33" t="s">
        <v>54</v>
      </c>
      <c r="D25" s="33" t="s">
        <v>52</v>
      </c>
      <c r="E25" s="34">
        <v>756</v>
      </c>
      <c r="F25" t="str">
        <f>VLOOKUP(Relationships!D25,'Lookup Tables'!$A$4:$B$20,2,0)</f>
        <v>Beverages</v>
      </c>
      <c r="G25" t="str">
        <f>VLOOKUP(C25,'Lookup Tables'!$E$4:$K$11,7,0)</f>
        <v>North</v>
      </c>
    </row>
    <row r="26" spans="1:7" ht="15.75" customHeight="1" x14ac:dyDescent="0.3">
      <c r="A26" s="33">
        <v>1023</v>
      </c>
      <c r="B26" s="33">
        <v>1</v>
      </c>
      <c r="C26" s="33" t="s">
        <v>54</v>
      </c>
      <c r="D26" s="33" t="s">
        <v>53</v>
      </c>
      <c r="E26" s="34">
        <v>2668</v>
      </c>
      <c r="F26" t="str">
        <f>VLOOKUP(Relationships!D26,'Lookup Tables'!$A$4:$B$20,2,0)</f>
        <v>Beverages</v>
      </c>
      <c r="G26" t="str">
        <f>VLOOKUP(C26,'Lookup Tables'!$E$4:$K$11,7,0)</f>
        <v>North</v>
      </c>
    </row>
    <row r="27" spans="1:7" ht="15.75" customHeight="1" x14ac:dyDescent="0.3">
      <c r="A27" s="33">
        <v>1024</v>
      </c>
      <c r="B27" s="33">
        <v>1</v>
      </c>
      <c r="C27" s="33" t="s">
        <v>54</v>
      </c>
      <c r="D27" s="33" t="s">
        <v>63</v>
      </c>
      <c r="E27" s="34">
        <v>200.33</v>
      </c>
      <c r="F27" t="str">
        <f>VLOOKUP(Relationships!D27,'Lookup Tables'!$A$4:$B$20,2,0)</f>
        <v>Beverages</v>
      </c>
      <c r="G27" t="str">
        <f>VLOOKUP(C27,'Lookup Tables'!$E$4:$K$11,7,0)</f>
        <v>North</v>
      </c>
    </row>
    <row r="28" spans="1:7" ht="15.75" customHeight="1" x14ac:dyDescent="0.3">
      <c r="A28" s="33">
        <v>1025</v>
      </c>
      <c r="B28" s="33">
        <v>28</v>
      </c>
      <c r="C28" s="33" t="s">
        <v>61</v>
      </c>
      <c r="D28" s="33" t="s">
        <v>58</v>
      </c>
      <c r="E28" s="34">
        <v>965</v>
      </c>
      <c r="F28" t="str">
        <f>VLOOKUP(Relationships!D28,'Lookup Tables'!$A$4:$B$20,2,0)</f>
        <v>Soups</v>
      </c>
      <c r="G28" t="str">
        <f>VLOOKUP(C28,'Lookup Tables'!$E$4:$K$11,7,0)</f>
        <v>South</v>
      </c>
    </row>
    <row r="29" spans="1:7" ht="15.75" customHeight="1" x14ac:dyDescent="0.3">
      <c r="A29" s="33">
        <v>1026</v>
      </c>
      <c r="B29" s="33">
        <v>28</v>
      </c>
      <c r="C29" s="33" t="s">
        <v>61</v>
      </c>
      <c r="D29" s="33" t="s">
        <v>66</v>
      </c>
      <c r="E29" s="34">
        <v>1159.1999999999998</v>
      </c>
      <c r="F29" t="str">
        <f>VLOOKUP(Relationships!D29,'Lookup Tables'!$A$4:$B$20,2,0)</f>
        <v>Canned Meat</v>
      </c>
      <c r="G29" t="str">
        <f>VLOOKUP(C29,'Lookup Tables'!$E$4:$K$11,7,0)</f>
        <v>South</v>
      </c>
    </row>
    <row r="30" spans="1:7" ht="15.75" customHeight="1" x14ac:dyDescent="0.3">
      <c r="A30" s="33">
        <v>1028</v>
      </c>
      <c r="B30" s="33">
        <v>9</v>
      </c>
      <c r="C30" s="33" t="s">
        <v>67</v>
      </c>
      <c r="D30" s="33" t="s">
        <v>68</v>
      </c>
      <c r="E30" s="34">
        <v>2818.7999999999997</v>
      </c>
      <c r="F30" t="str">
        <f>VLOOKUP(Relationships!D30,'Lookup Tables'!$A$4:$B$20,2,0)</f>
        <v>Dairy Products</v>
      </c>
      <c r="G30" t="str">
        <f>VLOOKUP(C30,'Lookup Tables'!$E$4:$K$11,7,0)</f>
        <v>West</v>
      </c>
    </row>
    <row r="31" spans="1:7" ht="15.75" customHeight="1" x14ac:dyDescent="0.3">
      <c r="A31" s="33">
        <v>1029</v>
      </c>
      <c r="B31" s="33">
        <v>6</v>
      </c>
      <c r="C31" s="33" t="s">
        <v>59</v>
      </c>
      <c r="D31" s="33" t="s">
        <v>47</v>
      </c>
      <c r="E31" s="34">
        <v>994</v>
      </c>
      <c r="F31" t="str">
        <f>VLOOKUP(Relationships!D31,'Lookup Tables'!$A$4:$B$20,2,0)</f>
        <v>Beverages</v>
      </c>
      <c r="G31" t="str">
        <f>VLOOKUP(C31,'Lookup Tables'!$E$4:$K$11,7,0)</f>
        <v>North</v>
      </c>
    </row>
    <row r="32" spans="1:7" ht="15.75" customHeight="1" x14ac:dyDescent="0.3">
      <c r="A32" s="33">
        <v>1030</v>
      </c>
      <c r="B32" s="33">
        <v>8</v>
      </c>
      <c r="C32" s="33" t="s">
        <v>54</v>
      </c>
      <c r="D32" s="33" t="s">
        <v>60</v>
      </c>
      <c r="E32" s="34">
        <v>1280</v>
      </c>
      <c r="F32" t="str">
        <f>VLOOKUP(Relationships!D32,'Lookup Tables'!$A$4:$B$20,2,0)</f>
        <v>Sauces</v>
      </c>
      <c r="G32" t="str">
        <f>VLOOKUP(C32,'Lookup Tables'!$E$4:$K$11,7,0)</f>
        <v>North</v>
      </c>
    </row>
    <row r="33" spans="1:7" ht="15.75" customHeight="1" x14ac:dyDescent="0.3">
      <c r="A33" s="33">
        <v>1031</v>
      </c>
      <c r="B33" s="33">
        <v>3</v>
      </c>
      <c r="C33" s="33" t="s">
        <v>46</v>
      </c>
      <c r="D33" s="33" t="s">
        <v>69</v>
      </c>
      <c r="E33" s="34">
        <v>630</v>
      </c>
      <c r="F33" t="str">
        <f>VLOOKUP(Relationships!D33,'Lookup Tables'!$A$4:$B$20,2,0)</f>
        <v>Condiments</v>
      </c>
      <c r="G33" t="str">
        <f>VLOOKUP(C33,'Lookup Tables'!$E$4:$K$11,7,0)</f>
        <v>West</v>
      </c>
    </row>
    <row r="34" spans="1:7" ht="15.75" customHeight="1" x14ac:dyDescent="0.3">
      <c r="A34" s="33">
        <v>1032</v>
      </c>
      <c r="B34" s="33">
        <v>3</v>
      </c>
      <c r="C34" s="33" t="s">
        <v>46</v>
      </c>
      <c r="D34" s="33" t="s">
        <v>60</v>
      </c>
      <c r="E34" s="34">
        <v>1200</v>
      </c>
      <c r="F34" t="str">
        <f>VLOOKUP(Relationships!D34,'Lookup Tables'!$A$4:$B$20,2,0)</f>
        <v>Sauces</v>
      </c>
      <c r="G34" t="str">
        <f>VLOOKUP(C34,'Lookup Tables'!$E$4:$K$11,7,0)</f>
        <v>West</v>
      </c>
    </row>
    <row r="35" spans="1:7" ht="15.75" customHeight="1" x14ac:dyDescent="0.3">
      <c r="A35" s="33">
        <v>1033</v>
      </c>
      <c r="B35" s="33">
        <v>6</v>
      </c>
      <c r="C35" s="33" t="s">
        <v>59</v>
      </c>
      <c r="E35" s="34">
        <v>1</v>
      </c>
      <c r="F35" t="e">
        <f>VLOOKUP(Relationships!D35,'Lookup Tables'!$A$4:$B$20,2,0)</f>
        <v>#N/A</v>
      </c>
      <c r="G35" t="str">
        <f>VLOOKUP(C35,'Lookup Tables'!$E$4:$K$11,7,0)</f>
        <v>North</v>
      </c>
    </row>
    <row r="36" spans="1:7" ht="15.75" customHeight="1" x14ac:dyDescent="0.3">
      <c r="A36" s="33">
        <v>1034</v>
      </c>
      <c r="B36" s="33">
        <v>28</v>
      </c>
      <c r="C36" s="33" t="s">
        <v>61</v>
      </c>
      <c r="E36" s="34">
        <v>1</v>
      </c>
      <c r="F36" t="e">
        <f>VLOOKUP(Relationships!D36,'Lookup Tables'!$A$4:$B$20,2,0)</f>
        <v>#N/A</v>
      </c>
      <c r="G36" t="str">
        <f>VLOOKUP(C36,'Lookup Tables'!$E$4:$K$11,7,0)</f>
        <v>South</v>
      </c>
    </row>
    <row r="37" spans="1:7" ht="15.75" customHeight="1" x14ac:dyDescent="0.3">
      <c r="A37" s="33">
        <v>1035</v>
      </c>
      <c r="B37" s="33">
        <v>8</v>
      </c>
      <c r="C37" s="33" t="s">
        <v>54</v>
      </c>
      <c r="E37" s="34">
        <v>1</v>
      </c>
      <c r="F37" t="e">
        <f>VLOOKUP(Relationships!D37,'Lookup Tables'!$A$4:$B$20,2,0)</f>
        <v>#N/A</v>
      </c>
      <c r="G37" t="str">
        <f>VLOOKUP(C37,'Lookup Tables'!$E$4:$K$11,7,0)</f>
        <v>North</v>
      </c>
    </row>
    <row r="38" spans="1:7" ht="15.75" customHeight="1" x14ac:dyDescent="0.3">
      <c r="A38" s="33">
        <v>1036</v>
      </c>
      <c r="B38" s="33">
        <v>10</v>
      </c>
      <c r="C38" s="33" t="s">
        <v>62</v>
      </c>
      <c r="D38" s="33" t="s">
        <v>65</v>
      </c>
      <c r="E38" s="34">
        <v>470</v>
      </c>
      <c r="F38" t="str">
        <f>VLOOKUP(Relationships!D38,'Lookup Tables'!$A$4:$B$20,2,0)</f>
        <v>Condiments</v>
      </c>
      <c r="G38" t="str">
        <f>VLOOKUP(C38,'Lookup Tables'!$E$4:$K$11,7,0)</f>
        <v>East</v>
      </c>
    </row>
    <row r="39" spans="1:7" ht="15.75" customHeight="1" x14ac:dyDescent="0.3">
      <c r="A39" s="33">
        <v>1038</v>
      </c>
      <c r="B39" s="33">
        <v>10</v>
      </c>
      <c r="C39" s="33" t="s">
        <v>62</v>
      </c>
      <c r="D39" s="33" t="s">
        <v>48</v>
      </c>
      <c r="E39" s="34">
        <v>171.5</v>
      </c>
      <c r="F39" t="str">
        <f>VLOOKUP(Relationships!D39,'Lookup Tables'!$A$4:$B$20,2,0)</f>
        <v>Dried Fruit &amp; Nuts</v>
      </c>
      <c r="G39" t="str">
        <f>VLOOKUP(C39,'Lookup Tables'!$E$4:$K$11,7,0)</f>
        <v>East</v>
      </c>
    </row>
    <row r="40" spans="1:7" ht="15.75" customHeight="1" x14ac:dyDescent="0.3">
      <c r="A40" s="33">
        <v>1039</v>
      </c>
      <c r="B40" s="33">
        <v>11</v>
      </c>
      <c r="C40" s="33" t="s">
        <v>61</v>
      </c>
      <c r="D40" s="33" t="s">
        <v>60</v>
      </c>
      <c r="E40" s="34">
        <v>2880</v>
      </c>
      <c r="F40" t="str">
        <f>VLOOKUP(Relationships!D40,'Lookup Tables'!$A$4:$B$20,2,0)</f>
        <v>Sauces</v>
      </c>
      <c r="G40" t="str">
        <f>VLOOKUP(C40,'Lookup Tables'!$E$4:$K$11,7,0)</f>
        <v>South</v>
      </c>
    </row>
    <row r="41" spans="1:7" ht="15.75" customHeight="1" x14ac:dyDescent="0.3">
      <c r="A41" s="33">
        <v>1040</v>
      </c>
      <c r="B41" s="33">
        <v>1</v>
      </c>
      <c r="C41" s="33" t="s">
        <v>54</v>
      </c>
      <c r="D41" s="33" t="s">
        <v>66</v>
      </c>
      <c r="E41" s="34">
        <v>239.2</v>
      </c>
      <c r="F41" t="str">
        <f>VLOOKUP(Relationships!D41,'Lookup Tables'!$A$4:$B$20,2,0)</f>
        <v>Canned Meat</v>
      </c>
      <c r="G41" t="str">
        <f>VLOOKUP(C41,'Lookup Tables'!$E$4:$K$11,7,0)</f>
        <v>North</v>
      </c>
    </row>
    <row r="42" spans="1:7" ht="15.75" customHeight="1" x14ac:dyDescent="0.3">
      <c r="A42" s="33">
        <v>1041</v>
      </c>
      <c r="B42" s="33">
        <v>28</v>
      </c>
      <c r="C42" s="33" t="s">
        <v>61</v>
      </c>
      <c r="D42" s="33" t="s">
        <v>53</v>
      </c>
      <c r="E42" s="34">
        <v>1472</v>
      </c>
      <c r="F42" t="str">
        <f>VLOOKUP(Relationships!D42,'Lookup Tables'!$A$4:$B$20,2,0)</f>
        <v>Beverages</v>
      </c>
      <c r="G42" t="str">
        <f>VLOOKUP(C42,'Lookup Tables'!$E$4:$K$11,7,0)</f>
        <v>South</v>
      </c>
    </row>
    <row r="43" spans="1:7" ht="15.75" customHeight="1" x14ac:dyDescent="0.3">
      <c r="A43" s="33">
        <v>1042</v>
      </c>
      <c r="B43" s="33">
        <v>9</v>
      </c>
      <c r="C43" s="33" t="s">
        <v>67</v>
      </c>
      <c r="D43" s="33" t="s">
        <v>58</v>
      </c>
      <c r="E43" s="34">
        <v>260.55</v>
      </c>
      <c r="F43" t="str">
        <f>VLOOKUP(Relationships!D43,'Lookup Tables'!$A$4:$B$20,2,0)</f>
        <v>Soups</v>
      </c>
      <c r="G43" t="str">
        <f>VLOOKUP(C43,'Lookup Tables'!$E$4:$K$11,7,0)</f>
        <v>West</v>
      </c>
    </row>
    <row r="44" spans="1:7" ht="15.75" customHeight="1" x14ac:dyDescent="0.3">
      <c r="A44" s="33">
        <v>1043</v>
      </c>
      <c r="B44" s="33">
        <v>6</v>
      </c>
      <c r="C44" s="33" t="s">
        <v>59</v>
      </c>
      <c r="D44" s="33" t="s">
        <v>57</v>
      </c>
      <c r="E44" s="34">
        <v>905.25</v>
      </c>
      <c r="F44" t="str">
        <f>VLOOKUP(Relationships!D44,'Lookup Tables'!$A$4:$B$20,2,0)</f>
        <v>Candy</v>
      </c>
      <c r="G44" t="str">
        <f>VLOOKUP(C44,'Lookup Tables'!$E$4:$K$11,7,0)</f>
        <v>North</v>
      </c>
    </row>
    <row r="45" spans="1:7" ht="15.75" customHeight="1" x14ac:dyDescent="0.3">
      <c r="A45" s="33">
        <v>1044</v>
      </c>
      <c r="B45" s="33">
        <v>8</v>
      </c>
      <c r="C45" s="33" t="s">
        <v>54</v>
      </c>
      <c r="D45" s="33" t="s">
        <v>57</v>
      </c>
      <c r="E45" s="34">
        <v>165.75</v>
      </c>
      <c r="F45" t="str">
        <f>VLOOKUP(Relationships!D45,'Lookup Tables'!$A$4:$B$20,2,0)</f>
        <v>Candy</v>
      </c>
      <c r="G45" t="str">
        <f>VLOOKUP(C45,'Lookup Tables'!$E$4:$K$11,7,0)</f>
        <v>North</v>
      </c>
    </row>
    <row r="46" spans="1:7" ht="15.75" customHeight="1" x14ac:dyDescent="0.3">
      <c r="A46" s="33">
        <v>1045</v>
      </c>
      <c r="B46" s="33">
        <v>25</v>
      </c>
      <c r="C46" s="33" t="s">
        <v>62</v>
      </c>
      <c r="D46" s="33" t="s">
        <v>65</v>
      </c>
      <c r="E46" s="34">
        <v>2156</v>
      </c>
      <c r="F46" t="str">
        <f>VLOOKUP(Relationships!D46,'Lookup Tables'!$A$4:$B$20,2,0)</f>
        <v>Condiments</v>
      </c>
      <c r="G46" t="str">
        <f>VLOOKUP(C46,'Lookup Tables'!$E$4:$K$11,7,0)</f>
        <v>East</v>
      </c>
    </row>
    <row r="47" spans="1:7" ht="15.75" customHeight="1" x14ac:dyDescent="0.3">
      <c r="A47" s="33">
        <v>1046</v>
      </c>
      <c r="B47" s="33">
        <v>26</v>
      </c>
      <c r="C47" s="33" t="s">
        <v>61</v>
      </c>
      <c r="D47" s="33" t="s">
        <v>64</v>
      </c>
      <c r="E47" s="34">
        <v>525</v>
      </c>
      <c r="F47" t="str">
        <f>VLOOKUP(Relationships!D47,'Lookup Tables'!$A$4:$B$20,2,0)</f>
        <v>Jams, Preserves</v>
      </c>
      <c r="G47" t="str">
        <f>VLOOKUP(C47,'Lookup Tables'!$E$4:$K$11,7,0)</f>
        <v>South</v>
      </c>
    </row>
    <row r="48" spans="1:7" ht="15.75" customHeight="1" x14ac:dyDescent="0.3">
      <c r="A48" s="33">
        <v>1047</v>
      </c>
      <c r="B48" s="33">
        <v>29</v>
      </c>
      <c r="C48" s="33" t="s">
        <v>56</v>
      </c>
      <c r="D48" s="33" t="s">
        <v>53</v>
      </c>
      <c r="E48" s="34">
        <v>1014</v>
      </c>
      <c r="F48" t="str">
        <f>VLOOKUP(Relationships!D48,'Lookup Tables'!$A$4:$B$20,2,0)</f>
        <v>Beverages</v>
      </c>
      <c r="G48" t="str">
        <f>VLOOKUP(C48,'Lookup Tables'!$E$4:$K$11,7,0)</f>
        <v>West</v>
      </c>
    </row>
    <row r="49" spans="1:7" ht="15.75" customHeight="1" x14ac:dyDescent="0.3">
      <c r="A49" s="33">
        <v>1048</v>
      </c>
      <c r="B49" s="33">
        <v>6</v>
      </c>
      <c r="C49" s="33" t="s">
        <v>59</v>
      </c>
      <c r="D49" s="33" t="s">
        <v>50</v>
      </c>
      <c r="E49" s="34">
        <v>2880</v>
      </c>
      <c r="F49" t="str">
        <f>VLOOKUP(Relationships!D49,'Lookup Tables'!$A$4:$B$20,2,0)</f>
        <v>Dried Fruit &amp; Nuts</v>
      </c>
      <c r="G49" t="str">
        <f>VLOOKUP(C49,'Lookup Tables'!$E$4:$K$11,7,0)</f>
        <v>North</v>
      </c>
    </row>
    <row r="50" spans="1:7" ht="15.75" customHeight="1" x14ac:dyDescent="0.3">
      <c r="A50" s="33">
        <v>1049</v>
      </c>
      <c r="B50" s="33">
        <v>6</v>
      </c>
      <c r="C50" s="33" t="s">
        <v>59</v>
      </c>
      <c r="D50" s="33" t="s">
        <v>51</v>
      </c>
      <c r="E50" s="34">
        <v>848</v>
      </c>
      <c r="F50" t="str">
        <f>VLOOKUP(Relationships!D50,'Lookup Tables'!$A$4:$B$20,2,0)</f>
        <v>Dried Fruit &amp; Nuts</v>
      </c>
      <c r="G50" t="str">
        <f>VLOOKUP(C50,'Lookup Tables'!$E$4:$K$11,7,0)</f>
        <v>North</v>
      </c>
    </row>
    <row r="51" spans="1:7" ht="15.75" customHeight="1" x14ac:dyDescent="0.3">
      <c r="A51" s="33">
        <v>1051</v>
      </c>
      <c r="B51" s="33">
        <v>3</v>
      </c>
      <c r="C51" s="33" t="s">
        <v>46</v>
      </c>
      <c r="D51" s="33" t="s">
        <v>63</v>
      </c>
      <c r="E51" s="34">
        <v>224.25000000000003</v>
      </c>
      <c r="F51" t="str">
        <f>VLOOKUP(Relationships!D51,'Lookup Tables'!$A$4:$B$20,2,0)</f>
        <v>Beverages</v>
      </c>
      <c r="G51" t="str">
        <f>VLOOKUP(C51,'Lookup Tables'!$E$4:$K$11,7,0)</f>
        <v>West</v>
      </c>
    </row>
    <row r="52" spans="1:7" ht="15.75" customHeight="1" x14ac:dyDescent="0.3">
      <c r="A52" s="33">
        <v>1053</v>
      </c>
      <c r="B52" s="33">
        <v>9</v>
      </c>
      <c r="C52" s="33" t="s">
        <v>67</v>
      </c>
      <c r="D52" s="33" t="s">
        <v>68</v>
      </c>
      <c r="E52" s="34">
        <v>382.79999999999995</v>
      </c>
      <c r="F52" t="str">
        <f>VLOOKUP(Relationships!D52,'Lookup Tables'!$A$4:$B$20,2,0)</f>
        <v>Dairy Products</v>
      </c>
      <c r="G52" t="str">
        <f>VLOOKUP(C52,'Lookup Tables'!$E$4:$K$11,7,0)</f>
        <v>West</v>
      </c>
    </row>
    <row r="53" spans="1:7" ht="15.75" customHeight="1" x14ac:dyDescent="0.3">
      <c r="A53" s="33">
        <v>1054</v>
      </c>
      <c r="B53" s="33">
        <v>6</v>
      </c>
      <c r="C53" s="33" t="s">
        <v>59</v>
      </c>
      <c r="D53" s="33" t="s">
        <v>53</v>
      </c>
      <c r="E53" s="34">
        <v>742</v>
      </c>
      <c r="F53" t="str">
        <f>VLOOKUP(Relationships!D53,'Lookup Tables'!$A$4:$B$20,2,0)</f>
        <v>Beverages</v>
      </c>
      <c r="G53" t="str">
        <f>VLOOKUP(C53,'Lookup Tables'!$E$4:$K$11,7,0)</f>
        <v>North</v>
      </c>
    </row>
    <row r="54" spans="1:7" ht="15.75" customHeight="1" x14ac:dyDescent="0.3">
      <c r="A54" s="33">
        <v>1055</v>
      </c>
      <c r="B54" s="33">
        <v>8</v>
      </c>
      <c r="C54" s="33" t="s">
        <v>54</v>
      </c>
      <c r="D54" s="33" t="s">
        <v>60</v>
      </c>
      <c r="E54" s="34">
        <v>3400</v>
      </c>
      <c r="F54" t="str">
        <f>VLOOKUP(Relationships!D54,'Lookup Tables'!$A$4:$B$20,2,0)</f>
        <v>Sauces</v>
      </c>
      <c r="G54" t="str">
        <f>VLOOKUP(C54,'Lookup Tables'!$E$4:$K$11,7,0)</f>
        <v>North</v>
      </c>
    </row>
    <row r="55" spans="1:7" ht="15.75" customHeight="1" x14ac:dyDescent="0.3">
      <c r="A55" s="33">
        <v>1056</v>
      </c>
      <c r="B55" s="33">
        <v>8</v>
      </c>
      <c r="C55" s="33" t="s">
        <v>54</v>
      </c>
      <c r="D55" s="33" t="s">
        <v>55</v>
      </c>
      <c r="E55" s="34">
        <v>892.4</v>
      </c>
      <c r="F55" t="str">
        <f>VLOOKUP(Relationships!D55,'Lookup Tables'!$A$4:$B$20,2,0)</f>
        <v>Baked Goods &amp; Mixes</v>
      </c>
      <c r="G55" t="str">
        <f>VLOOKUP(C55,'Lookup Tables'!$E$4:$K$11,7,0)</f>
        <v>North</v>
      </c>
    </row>
    <row r="56" spans="1:7" ht="15.75" customHeight="1" x14ac:dyDescent="0.3">
      <c r="A56" s="33">
        <v>1057</v>
      </c>
      <c r="B56" s="33">
        <v>25</v>
      </c>
      <c r="C56" s="33" t="s">
        <v>62</v>
      </c>
      <c r="D56" s="33" t="s">
        <v>63</v>
      </c>
      <c r="E56" s="34">
        <v>460</v>
      </c>
      <c r="F56" t="str">
        <f>VLOOKUP(Relationships!D56,'Lookup Tables'!$A$4:$B$20,2,0)</f>
        <v>Beverages</v>
      </c>
      <c r="G56" t="str">
        <f>VLOOKUP(C56,'Lookup Tables'!$E$4:$K$11,7,0)</f>
        <v>East</v>
      </c>
    </row>
    <row r="57" spans="1:7" ht="15.75" customHeight="1" x14ac:dyDescent="0.3">
      <c r="A57" s="33">
        <v>1059</v>
      </c>
      <c r="B57" s="33">
        <v>26</v>
      </c>
      <c r="C57" s="33" t="s">
        <v>61</v>
      </c>
      <c r="D57" s="33" t="s">
        <v>58</v>
      </c>
      <c r="E57" s="34">
        <v>936.05000000000007</v>
      </c>
      <c r="F57" t="str">
        <f>VLOOKUP(Relationships!D57,'Lookup Tables'!$A$4:$B$20,2,0)</f>
        <v>Soups</v>
      </c>
      <c r="G57" t="str">
        <f>VLOOKUP(C57,'Lookup Tables'!$E$4:$K$11,7,0)</f>
        <v>South</v>
      </c>
    </row>
    <row r="58" spans="1:7" ht="15.75" customHeight="1" x14ac:dyDescent="0.3">
      <c r="A58" s="33">
        <v>1060</v>
      </c>
      <c r="B58" s="33">
        <v>26</v>
      </c>
      <c r="C58" s="33" t="s">
        <v>61</v>
      </c>
      <c r="D58" s="33" t="s">
        <v>66</v>
      </c>
      <c r="E58" s="34">
        <v>1196</v>
      </c>
      <c r="F58" t="str">
        <f>VLOOKUP(Relationships!D58,'Lookup Tables'!$A$4:$B$20,2,0)</f>
        <v>Canned Meat</v>
      </c>
      <c r="G58" t="str">
        <f>VLOOKUP(C58,'Lookup Tables'!$E$4:$K$11,7,0)</f>
        <v>South</v>
      </c>
    </row>
    <row r="59" spans="1:7" ht="15.75" customHeight="1" x14ac:dyDescent="0.3">
      <c r="A59" s="33">
        <v>1061</v>
      </c>
      <c r="B59" s="33">
        <v>29</v>
      </c>
      <c r="C59" s="33" t="s">
        <v>56</v>
      </c>
      <c r="D59" s="33" t="s">
        <v>60</v>
      </c>
      <c r="E59" s="34">
        <v>1008</v>
      </c>
      <c r="F59" t="str">
        <f>VLOOKUP(Relationships!D59,'Lookup Tables'!$A$4:$B$20,2,0)</f>
        <v>Sauces</v>
      </c>
      <c r="G59" t="str">
        <f>VLOOKUP(C59,'Lookup Tables'!$E$4:$K$11,7,0)</f>
        <v>West</v>
      </c>
    </row>
    <row r="60" spans="1:7" ht="15.75" customHeight="1" x14ac:dyDescent="0.3">
      <c r="A60" s="33">
        <v>1062</v>
      </c>
      <c r="B60" s="33">
        <v>6</v>
      </c>
      <c r="C60" s="33" t="s">
        <v>59</v>
      </c>
      <c r="D60" s="33" t="s">
        <v>57</v>
      </c>
      <c r="E60" s="34">
        <v>204</v>
      </c>
      <c r="F60" t="str">
        <f>VLOOKUP(Relationships!D60,'Lookup Tables'!$A$4:$B$20,2,0)</f>
        <v>Candy</v>
      </c>
      <c r="G60" t="str">
        <f>VLOOKUP(C60,'Lookup Tables'!$E$4:$K$11,7,0)</f>
        <v>North</v>
      </c>
    </row>
    <row r="61" spans="1:7" ht="15.75" customHeight="1" x14ac:dyDescent="0.3">
      <c r="A61" s="33">
        <v>1064</v>
      </c>
      <c r="B61" s="33">
        <v>4</v>
      </c>
      <c r="C61" s="33" t="s">
        <v>49</v>
      </c>
      <c r="D61" s="33" t="s">
        <v>50</v>
      </c>
      <c r="E61" s="34">
        <v>6237</v>
      </c>
      <c r="F61" t="str">
        <f>VLOOKUP(Relationships!D61,'Lookup Tables'!$A$4:$B$20,2,0)</f>
        <v>Dried Fruit &amp; Nuts</v>
      </c>
      <c r="G61" t="str">
        <f>VLOOKUP(C61,'Lookup Tables'!$E$4:$K$11,7,0)</f>
        <v>East</v>
      </c>
    </row>
    <row r="62" spans="1:7" ht="15.75" customHeight="1" x14ac:dyDescent="0.3">
      <c r="A62" s="33">
        <v>1067</v>
      </c>
      <c r="B62" s="33">
        <v>8</v>
      </c>
      <c r="C62" s="33" t="s">
        <v>54</v>
      </c>
      <c r="D62" s="33" t="s">
        <v>68</v>
      </c>
      <c r="E62" s="34">
        <v>2192.3999999999996</v>
      </c>
      <c r="F62" t="str">
        <f>VLOOKUP(Relationships!D62,'Lookup Tables'!$A$4:$B$20,2,0)</f>
        <v>Dairy Products</v>
      </c>
      <c r="G62" t="str">
        <f>VLOOKUP(C62,'Lookup Tables'!$E$4:$K$11,7,0)</f>
        <v>North</v>
      </c>
    </row>
    <row r="63" spans="1:7" ht="15.75" customHeight="1" x14ac:dyDescent="0.3">
      <c r="A63" s="33">
        <v>1070</v>
      </c>
      <c r="B63" s="33">
        <v>3</v>
      </c>
      <c r="C63" s="33" t="s">
        <v>46</v>
      </c>
      <c r="D63" s="33" t="s">
        <v>69</v>
      </c>
      <c r="E63" s="34">
        <v>480</v>
      </c>
      <c r="F63" t="str">
        <f>VLOOKUP(Relationships!D63,'Lookup Tables'!$A$4:$B$20,2,0)</f>
        <v>Condiments</v>
      </c>
      <c r="G63" t="str">
        <f>VLOOKUP(C63,'Lookup Tables'!$E$4:$K$11,7,0)</f>
        <v>West</v>
      </c>
    </row>
    <row r="64" spans="1:7" ht="15.75" customHeight="1" x14ac:dyDescent="0.3">
      <c r="A64" s="33">
        <v>1071</v>
      </c>
      <c r="B64" s="33">
        <v>3</v>
      </c>
      <c r="C64" s="33" t="s">
        <v>46</v>
      </c>
      <c r="D64" s="33" t="s">
        <v>60</v>
      </c>
      <c r="E64" s="34">
        <v>2840</v>
      </c>
      <c r="F64" t="str">
        <f>VLOOKUP(Relationships!D64,'Lookup Tables'!$A$4:$B$20,2,0)</f>
        <v>Sauces</v>
      </c>
      <c r="G64" t="str">
        <f>VLOOKUP(C64,'Lookup Tables'!$E$4:$K$11,7,0)</f>
        <v>West</v>
      </c>
    </row>
    <row r="65" spans="1:7" ht="15.75" customHeight="1" x14ac:dyDescent="0.3">
      <c r="A65" s="33">
        <v>1075</v>
      </c>
      <c r="B65" s="33">
        <v>10</v>
      </c>
      <c r="C65" s="33" t="s">
        <v>62</v>
      </c>
      <c r="D65" s="33" t="s">
        <v>64</v>
      </c>
      <c r="E65" s="34">
        <v>550</v>
      </c>
      <c r="F65" t="str">
        <f>VLOOKUP(Relationships!D65,'Lookup Tables'!$A$4:$B$20,2,0)</f>
        <v>Jams, Preserves</v>
      </c>
      <c r="G65" t="str">
        <f>VLOOKUP(C65,'Lookup Tables'!$E$4:$K$11,7,0)</f>
        <v>East</v>
      </c>
    </row>
    <row r="66" spans="1:7" ht="15.75" customHeight="1" x14ac:dyDescent="0.3">
      <c r="A66" s="33">
        <v>1077</v>
      </c>
      <c r="B66" s="33">
        <v>10</v>
      </c>
      <c r="C66" s="33" t="s">
        <v>62</v>
      </c>
      <c r="D66" s="33" t="s">
        <v>48</v>
      </c>
      <c r="E66" s="34">
        <v>73.5</v>
      </c>
      <c r="F66" t="str">
        <f>VLOOKUP(Relationships!D66,'Lookup Tables'!$A$4:$B$20,2,0)</f>
        <v>Dried Fruit &amp; Nuts</v>
      </c>
      <c r="G66" t="str">
        <f>VLOOKUP(C66,'Lookup Tables'!$E$4:$K$11,7,0)</f>
        <v>East</v>
      </c>
    </row>
    <row r="67" spans="1:7" ht="15.75" customHeight="1" x14ac:dyDescent="0.3">
      <c r="A67" s="33">
        <v>1078</v>
      </c>
      <c r="B67" s="33">
        <v>11</v>
      </c>
      <c r="C67" s="33" t="s">
        <v>61</v>
      </c>
      <c r="D67" s="33" t="s">
        <v>60</v>
      </c>
      <c r="E67" s="34">
        <v>2680</v>
      </c>
      <c r="F67" t="str">
        <f>VLOOKUP(Relationships!D67,'Lookup Tables'!$A$4:$B$20,2,0)</f>
        <v>Sauces</v>
      </c>
      <c r="G67" t="str">
        <f>VLOOKUP(C67,'Lookup Tables'!$E$4:$K$11,7,0)</f>
        <v>South</v>
      </c>
    </row>
    <row r="68" spans="1:7" ht="15.75" customHeight="1" x14ac:dyDescent="0.3">
      <c r="A68" s="33">
        <v>1079</v>
      </c>
      <c r="B68" s="33">
        <v>1</v>
      </c>
      <c r="C68" s="33" t="s">
        <v>54</v>
      </c>
      <c r="D68" s="33" t="s">
        <v>66</v>
      </c>
      <c r="E68" s="34">
        <v>1380</v>
      </c>
      <c r="F68" t="str">
        <f>VLOOKUP(Relationships!D68,'Lookup Tables'!$A$4:$B$20,2,0)</f>
        <v>Canned Meat</v>
      </c>
      <c r="G68" t="str">
        <f>VLOOKUP(C68,'Lookup Tables'!$E$4:$K$11,7,0)</f>
        <v>North</v>
      </c>
    </row>
    <row r="69" spans="1:7" ht="15.75" customHeight="1" x14ac:dyDescent="0.3">
      <c r="A69" s="33">
        <v>1080</v>
      </c>
      <c r="B69" s="33">
        <v>28</v>
      </c>
      <c r="C69" s="33" t="s">
        <v>61</v>
      </c>
      <c r="D69" s="33" t="s">
        <v>53</v>
      </c>
      <c r="E69" s="34">
        <v>782</v>
      </c>
      <c r="F69" t="str">
        <f>VLOOKUP(Relationships!D69,'Lookup Tables'!$A$4:$B$20,2,0)</f>
        <v>Beverages</v>
      </c>
      <c r="G69" t="str">
        <f>VLOOKUP(C69,'Lookup Tables'!$E$4:$K$11,7,0)</f>
        <v>South</v>
      </c>
    </row>
    <row r="70" spans="1:7" ht="15.75" customHeight="1" x14ac:dyDescent="0.3">
      <c r="A70" s="33">
        <v>1081</v>
      </c>
      <c r="B70" s="33">
        <v>4</v>
      </c>
      <c r="C70" s="33" t="s">
        <v>49</v>
      </c>
      <c r="D70" s="33" t="s">
        <v>48</v>
      </c>
      <c r="E70" s="34">
        <v>168</v>
      </c>
      <c r="F70" t="str">
        <f>VLOOKUP(Relationships!D70,'Lookup Tables'!$A$4:$B$20,2,0)</f>
        <v>Dried Fruit &amp; Nuts</v>
      </c>
      <c r="G70" t="str">
        <f>VLOOKUP(C70,'Lookup Tables'!$E$4:$K$11,7,0)</f>
        <v>East</v>
      </c>
    </row>
    <row r="71" spans="1:7" ht="15.75" customHeight="1" x14ac:dyDescent="0.3">
      <c r="A71" s="33">
        <v>1082</v>
      </c>
      <c r="B71" s="33">
        <v>12</v>
      </c>
      <c r="C71" s="33" t="s">
        <v>46</v>
      </c>
      <c r="D71" s="33" t="s">
        <v>52</v>
      </c>
      <c r="E71" s="34">
        <v>1332</v>
      </c>
      <c r="F71" t="str">
        <f>VLOOKUP(Relationships!D71,'Lookup Tables'!$A$4:$B$20,2,0)</f>
        <v>Beverages</v>
      </c>
      <c r="G71" t="str">
        <f>VLOOKUP(C71,'Lookup Tables'!$E$4:$K$11,7,0)</f>
        <v>West</v>
      </c>
    </row>
    <row r="72" spans="1:7" ht="15.75" customHeight="1" x14ac:dyDescent="0.3">
      <c r="A72" s="33">
        <v>1083</v>
      </c>
      <c r="B72" s="33">
        <v>12</v>
      </c>
      <c r="C72" s="33" t="s">
        <v>46</v>
      </c>
      <c r="D72" s="33" t="s">
        <v>53</v>
      </c>
      <c r="E72" s="34">
        <v>4416</v>
      </c>
      <c r="F72" t="str">
        <f>VLOOKUP(Relationships!D72,'Lookup Tables'!$A$4:$B$20,2,0)</f>
        <v>Beverages</v>
      </c>
      <c r="G72" t="str">
        <f>VLOOKUP(C72,'Lookup Tables'!$E$4:$K$11,7,0)</f>
        <v>West</v>
      </c>
    </row>
    <row r="73" spans="1:7" ht="15.75" customHeight="1" x14ac:dyDescent="0.3">
      <c r="A73" s="33">
        <v>1084</v>
      </c>
      <c r="B73" s="33">
        <v>8</v>
      </c>
      <c r="C73" s="33" t="s">
        <v>54</v>
      </c>
      <c r="D73" s="33" t="s">
        <v>55</v>
      </c>
      <c r="E73" s="34">
        <v>110.39999999999999</v>
      </c>
      <c r="F73" t="str">
        <f>VLOOKUP(Relationships!D73,'Lookup Tables'!$A$4:$B$20,2,0)</f>
        <v>Baked Goods &amp; Mixes</v>
      </c>
      <c r="G73" t="str">
        <f>VLOOKUP(C73,'Lookup Tables'!$E$4:$K$11,7,0)</f>
        <v>North</v>
      </c>
    </row>
    <row r="74" spans="1:7" ht="15.75" customHeight="1" x14ac:dyDescent="0.3">
      <c r="A74" s="33">
        <v>1085</v>
      </c>
      <c r="B74" s="33">
        <v>4</v>
      </c>
      <c r="C74" s="33" t="s">
        <v>49</v>
      </c>
      <c r="D74" s="33" t="s">
        <v>55</v>
      </c>
      <c r="E74" s="34">
        <v>570.4</v>
      </c>
      <c r="F74" t="str">
        <f>VLOOKUP(Relationships!D74,'Lookup Tables'!$A$4:$B$20,2,0)</f>
        <v>Baked Goods &amp; Mixes</v>
      </c>
      <c r="G74" t="str">
        <f>VLOOKUP(C74,'Lookup Tables'!$E$4:$K$11,7,0)</f>
        <v>East</v>
      </c>
    </row>
    <row r="75" spans="1:7" ht="15.75" customHeight="1" x14ac:dyDescent="0.3">
      <c r="A75" s="33">
        <v>1086</v>
      </c>
      <c r="B75" s="33">
        <v>29</v>
      </c>
      <c r="C75" s="33" t="s">
        <v>56</v>
      </c>
      <c r="D75" s="33" t="s">
        <v>57</v>
      </c>
      <c r="E75" s="34">
        <v>446.25</v>
      </c>
      <c r="F75" t="str">
        <f>VLOOKUP(Relationships!D75,'Lookup Tables'!$A$4:$B$20,2,0)</f>
        <v>Candy</v>
      </c>
      <c r="G75" t="str">
        <f>VLOOKUP(C75,'Lookup Tables'!$E$4:$K$11,7,0)</f>
        <v>West</v>
      </c>
    </row>
    <row r="76" spans="1:7" ht="15.75" customHeight="1" x14ac:dyDescent="0.3">
      <c r="A76" s="33">
        <v>1087</v>
      </c>
      <c r="B76" s="33">
        <v>3</v>
      </c>
      <c r="C76" s="33" t="s">
        <v>46</v>
      </c>
      <c r="D76" s="33" t="s">
        <v>58</v>
      </c>
      <c r="E76" s="34">
        <v>916.75</v>
      </c>
      <c r="F76" t="str">
        <f>VLOOKUP(Relationships!D76,'Lookup Tables'!$A$4:$B$20,2,0)</f>
        <v>Soups</v>
      </c>
      <c r="G76" t="str">
        <f>VLOOKUP(C76,'Lookup Tables'!$E$4:$K$11,7,0)</f>
        <v>West</v>
      </c>
    </row>
    <row r="77" spans="1:7" ht="15.75" customHeight="1" x14ac:dyDescent="0.3">
      <c r="A77" s="33">
        <v>1088</v>
      </c>
      <c r="B77" s="33">
        <v>6</v>
      </c>
      <c r="C77" s="33" t="s">
        <v>59</v>
      </c>
      <c r="D77" s="33" t="s">
        <v>60</v>
      </c>
      <c r="E77" s="34">
        <v>680</v>
      </c>
      <c r="F77" t="str">
        <f>VLOOKUP(Relationships!D77,'Lookup Tables'!$A$4:$B$20,2,0)</f>
        <v>Sauces</v>
      </c>
      <c r="G77" t="str">
        <f>VLOOKUP(C77,'Lookup Tables'!$E$4:$K$11,7,0)</f>
        <v>North</v>
      </c>
    </row>
    <row r="78" spans="1:7" ht="15.75" customHeight="1" x14ac:dyDescent="0.3">
      <c r="A78" s="33">
        <v>1089</v>
      </c>
      <c r="B78" s="33">
        <v>28</v>
      </c>
      <c r="C78" s="33" t="s">
        <v>61</v>
      </c>
      <c r="D78" s="33" t="s">
        <v>53</v>
      </c>
      <c r="E78" s="34">
        <v>4416</v>
      </c>
      <c r="F78" t="str">
        <f>VLOOKUP(Relationships!D78,'Lookup Tables'!$A$4:$B$20,2,0)</f>
        <v>Beverages</v>
      </c>
      <c r="G78" t="str">
        <f>VLOOKUP(C78,'Lookup Tables'!$E$4:$K$11,7,0)</f>
        <v>South</v>
      </c>
    </row>
    <row r="79" spans="1:7" ht="15.75" customHeight="1" x14ac:dyDescent="0.3">
      <c r="A79" s="33">
        <v>1090</v>
      </c>
      <c r="B79" s="33">
        <v>8</v>
      </c>
      <c r="C79" s="33" t="s">
        <v>54</v>
      </c>
      <c r="D79" s="33" t="s">
        <v>57</v>
      </c>
      <c r="E79" s="34">
        <v>1058.25</v>
      </c>
      <c r="F79" t="str">
        <f>VLOOKUP(Relationships!D79,'Lookup Tables'!$A$4:$B$20,2,0)</f>
        <v>Candy</v>
      </c>
      <c r="G79" t="str">
        <f>VLOOKUP(C79,'Lookup Tables'!$E$4:$K$11,7,0)</f>
        <v>North</v>
      </c>
    </row>
    <row r="80" spans="1:7" ht="15.75" customHeight="1" x14ac:dyDescent="0.3">
      <c r="A80" s="33">
        <v>1091</v>
      </c>
      <c r="B80" s="33">
        <v>10</v>
      </c>
      <c r="C80" s="33" t="s">
        <v>62</v>
      </c>
      <c r="D80" s="33" t="s">
        <v>63</v>
      </c>
      <c r="E80" s="34">
        <v>263.12</v>
      </c>
      <c r="F80" t="str">
        <f>VLOOKUP(Relationships!D80,'Lookup Tables'!$A$4:$B$20,2,0)</f>
        <v>Beverages</v>
      </c>
      <c r="G80" t="str">
        <f>VLOOKUP(C80,'Lookup Tables'!$E$4:$K$11,7,0)</f>
        <v>East</v>
      </c>
    </row>
    <row r="81" spans="1:7" ht="15.75" customHeight="1" x14ac:dyDescent="0.3">
      <c r="A81" s="33">
        <v>1092</v>
      </c>
      <c r="B81" s="33">
        <v>7</v>
      </c>
      <c r="C81" s="33" t="s">
        <v>54</v>
      </c>
      <c r="D81" s="33" t="s">
        <v>53</v>
      </c>
      <c r="E81" s="34">
        <v>2714</v>
      </c>
      <c r="F81" t="str">
        <f>VLOOKUP(Relationships!D81,'Lookup Tables'!$A$4:$B$20,2,0)</f>
        <v>Beverages</v>
      </c>
      <c r="G81" t="str">
        <f>VLOOKUP(C81,'Lookup Tables'!$E$4:$K$11,7,0)</f>
        <v>North</v>
      </c>
    </row>
    <row r="82" spans="1:7" ht="15.75" customHeight="1" x14ac:dyDescent="0.3">
      <c r="A82" s="33">
        <v>1093</v>
      </c>
      <c r="B82" s="33">
        <v>10</v>
      </c>
      <c r="C82" s="33" t="s">
        <v>62</v>
      </c>
      <c r="D82" s="33" t="s">
        <v>64</v>
      </c>
      <c r="E82" s="34">
        <v>675</v>
      </c>
      <c r="F82" t="str">
        <f>VLOOKUP(Relationships!D82,'Lookup Tables'!$A$4:$B$20,2,0)</f>
        <v>Jams, Preserves</v>
      </c>
      <c r="G82" t="str">
        <f>VLOOKUP(C82,'Lookup Tables'!$E$4:$K$11,7,0)</f>
        <v>East</v>
      </c>
    </row>
    <row r="83" spans="1:7" ht="15.75" customHeight="1" x14ac:dyDescent="0.3">
      <c r="A83" s="33">
        <v>1094</v>
      </c>
      <c r="B83" s="33">
        <v>10</v>
      </c>
      <c r="C83" s="33" t="s">
        <v>62</v>
      </c>
      <c r="D83" s="33" t="s">
        <v>65</v>
      </c>
      <c r="E83" s="34">
        <v>814</v>
      </c>
      <c r="F83" t="str">
        <f>VLOOKUP(Relationships!D83,'Lookup Tables'!$A$4:$B$20,2,0)</f>
        <v>Condiments</v>
      </c>
      <c r="G83" t="str">
        <f>VLOOKUP(C83,'Lookup Tables'!$E$4:$K$11,7,0)</f>
        <v>East</v>
      </c>
    </row>
    <row r="84" spans="1:7" ht="15.75" customHeight="1" x14ac:dyDescent="0.3">
      <c r="A84" s="33">
        <v>1095</v>
      </c>
      <c r="B84" s="33">
        <v>10</v>
      </c>
      <c r="C84" s="33" t="s">
        <v>62</v>
      </c>
      <c r="D84" s="33" t="s">
        <v>55</v>
      </c>
      <c r="E84" s="34">
        <v>690</v>
      </c>
      <c r="F84" t="str">
        <f>VLOOKUP(Relationships!D84,'Lookup Tables'!$A$4:$B$20,2,0)</f>
        <v>Baked Goods &amp; Mixes</v>
      </c>
      <c r="G84" t="str">
        <f>VLOOKUP(C84,'Lookup Tables'!$E$4:$K$11,7,0)</f>
        <v>East</v>
      </c>
    </row>
    <row r="85" spans="1:7" ht="15.75" customHeight="1" x14ac:dyDescent="0.3">
      <c r="A85" s="33">
        <v>1096</v>
      </c>
      <c r="B85" s="33">
        <v>11</v>
      </c>
      <c r="C85" s="33" t="s">
        <v>61</v>
      </c>
      <c r="D85" s="33" t="s">
        <v>48</v>
      </c>
      <c r="E85" s="34">
        <v>248.5</v>
      </c>
      <c r="F85" t="str">
        <f>VLOOKUP(Relationships!D85,'Lookup Tables'!$A$4:$B$20,2,0)</f>
        <v>Dried Fruit &amp; Nuts</v>
      </c>
      <c r="G85" t="str">
        <f>VLOOKUP(C85,'Lookup Tables'!$E$4:$K$11,7,0)</f>
        <v>South</v>
      </c>
    </row>
    <row r="86" spans="1:7" ht="15.75" customHeight="1" x14ac:dyDescent="0.3">
      <c r="A86" s="33">
        <v>1097</v>
      </c>
      <c r="B86" s="33">
        <v>11</v>
      </c>
      <c r="C86" s="33" t="s">
        <v>61</v>
      </c>
      <c r="D86" s="33" t="s">
        <v>63</v>
      </c>
      <c r="E86" s="34">
        <v>263.12</v>
      </c>
      <c r="F86" t="str">
        <f>VLOOKUP(Relationships!D86,'Lookup Tables'!$A$4:$B$20,2,0)</f>
        <v>Beverages</v>
      </c>
      <c r="G86" t="str">
        <f>VLOOKUP(C86,'Lookup Tables'!$E$4:$K$11,7,0)</f>
        <v>South</v>
      </c>
    </row>
    <row r="87" spans="1:7" ht="15.75" customHeight="1" x14ac:dyDescent="0.3">
      <c r="A87" s="33">
        <v>1098</v>
      </c>
      <c r="B87" s="33">
        <v>1</v>
      </c>
      <c r="C87" s="33" t="s">
        <v>54</v>
      </c>
      <c r="D87" s="33" t="s">
        <v>52</v>
      </c>
      <c r="E87" s="34">
        <v>990</v>
      </c>
      <c r="F87" t="str">
        <f>VLOOKUP(Relationships!D87,'Lookup Tables'!$A$4:$B$20,2,0)</f>
        <v>Beverages</v>
      </c>
      <c r="G87" t="str">
        <f>VLOOKUP(C87,'Lookup Tables'!$E$4:$K$11,7,0)</f>
        <v>North</v>
      </c>
    </row>
    <row r="88" spans="1:7" ht="15.75" customHeight="1" x14ac:dyDescent="0.3">
      <c r="A88" s="33">
        <v>1099</v>
      </c>
      <c r="B88" s="33">
        <v>29</v>
      </c>
      <c r="C88" s="33" t="s">
        <v>56</v>
      </c>
      <c r="D88" s="33" t="s">
        <v>57</v>
      </c>
      <c r="E88" s="34">
        <v>178.5</v>
      </c>
      <c r="F88" t="str">
        <f>VLOOKUP(Relationships!D88,'Lookup Tables'!$A$4:$B$20,2,0)</f>
        <v>Candy</v>
      </c>
      <c r="G88" t="str">
        <f>VLOOKUP(C88,'Lookup Tables'!$E$4:$K$11,7,0)</f>
        <v>West</v>
      </c>
    </row>
    <row r="89" spans="1:7" ht="15.75" customHeight="1" x14ac:dyDescent="0.3">
      <c r="A89" s="33">
        <v>1100</v>
      </c>
      <c r="B89" s="33">
        <v>3</v>
      </c>
      <c r="C89" s="33" t="s">
        <v>46</v>
      </c>
      <c r="D89" s="33" t="s">
        <v>58</v>
      </c>
      <c r="E89" s="34">
        <v>414.95</v>
      </c>
      <c r="F89" t="str">
        <f>VLOOKUP(Relationships!D89,'Lookup Tables'!$A$4:$B$20,2,0)</f>
        <v>Soups</v>
      </c>
      <c r="G89" t="str">
        <f>VLOOKUP(C89,'Lookup Tables'!$E$4:$K$11,7,0)</f>
        <v>West</v>
      </c>
    </row>
    <row r="90" spans="1:7" ht="15.75" customHeight="1" x14ac:dyDescent="0.3">
      <c r="A90" s="33">
        <v>1101</v>
      </c>
      <c r="B90" s="33">
        <v>6</v>
      </c>
      <c r="C90" s="33" t="s">
        <v>59</v>
      </c>
      <c r="D90" s="33" t="s">
        <v>60</v>
      </c>
      <c r="E90" s="34">
        <v>2520</v>
      </c>
      <c r="F90" t="str">
        <f>VLOOKUP(Relationships!D90,'Lookup Tables'!$A$4:$B$20,2,0)</f>
        <v>Sauces</v>
      </c>
      <c r="G90" t="str">
        <f>VLOOKUP(C90,'Lookup Tables'!$E$4:$K$11,7,0)</f>
        <v>North</v>
      </c>
    </row>
    <row r="91" spans="1:7" ht="15.75" customHeight="1" x14ac:dyDescent="0.3">
      <c r="A91" s="33">
        <v>1102</v>
      </c>
      <c r="B91" s="33">
        <v>28</v>
      </c>
      <c r="C91" s="33" t="s">
        <v>61</v>
      </c>
      <c r="D91" s="33" t="s">
        <v>53</v>
      </c>
      <c r="E91" s="34">
        <v>1656</v>
      </c>
      <c r="F91" t="str">
        <f>VLOOKUP(Relationships!D91,'Lookup Tables'!$A$4:$B$20,2,0)</f>
        <v>Beverages</v>
      </c>
      <c r="G91" t="str">
        <f>VLOOKUP(C91,'Lookup Tables'!$E$4:$K$11,7,0)</f>
        <v>South</v>
      </c>
    </row>
    <row r="92" spans="1:7" ht="15.75" customHeight="1" x14ac:dyDescent="0.3">
      <c r="A92" s="33">
        <v>1103</v>
      </c>
      <c r="B92" s="33">
        <v>8</v>
      </c>
      <c r="C92" s="33" t="s">
        <v>54</v>
      </c>
      <c r="D92" s="33" t="s">
        <v>57</v>
      </c>
      <c r="E92" s="34">
        <v>522.75</v>
      </c>
      <c r="F92" t="str">
        <f>VLOOKUP(Relationships!D92,'Lookup Tables'!$A$4:$B$20,2,0)</f>
        <v>Candy</v>
      </c>
      <c r="G92" t="str">
        <f>VLOOKUP(C92,'Lookup Tables'!$E$4:$K$11,7,0)</f>
        <v>North</v>
      </c>
    </row>
    <row r="93" spans="1:7" ht="15.75" customHeight="1" x14ac:dyDescent="0.3">
      <c r="A93" s="33">
        <v>1104</v>
      </c>
      <c r="B93" s="33">
        <v>10</v>
      </c>
      <c r="C93" s="33" t="s">
        <v>62</v>
      </c>
      <c r="D93" s="33" t="s">
        <v>63</v>
      </c>
      <c r="E93" s="34">
        <v>104.65</v>
      </c>
      <c r="F93" t="str">
        <f>VLOOKUP(Relationships!D93,'Lookup Tables'!$A$4:$B$20,2,0)</f>
        <v>Beverages</v>
      </c>
      <c r="G93" t="str">
        <f>VLOOKUP(C93,'Lookup Tables'!$E$4:$K$11,7,0)</f>
        <v>East</v>
      </c>
    </row>
    <row r="94" spans="1:7" ht="15.75" customHeight="1" x14ac:dyDescent="0.3">
      <c r="A94" s="33">
        <v>1105</v>
      </c>
      <c r="B94" s="33">
        <v>7</v>
      </c>
      <c r="C94" s="33" t="s">
        <v>54</v>
      </c>
      <c r="D94" s="33" t="s">
        <v>53</v>
      </c>
      <c r="E94" s="34">
        <v>1426</v>
      </c>
      <c r="F94" t="str">
        <f>VLOOKUP(Relationships!D94,'Lookup Tables'!$A$4:$B$20,2,0)</f>
        <v>Beverages</v>
      </c>
      <c r="G94" t="str">
        <f>VLOOKUP(C94,'Lookup Tables'!$E$4:$K$11,7,0)</f>
        <v>North</v>
      </c>
    </row>
    <row r="95" spans="1:7" ht="15.75" customHeight="1" x14ac:dyDescent="0.3">
      <c r="A95" s="33">
        <v>1106</v>
      </c>
      <c r="B95" s="33">
        <v>10</v>
      </c>
      <c r="C95" s="33" t="s">
        <v>62</v>
      </c>
      <c r="D95" s="33" t="s">
        <v>64</v>
      </c>
      <c r="E95" s="34">
        <v>1300</v>
      </c>
      <c r="F95" t="str">
        <f>VLOOKUP(Relationships!D95,'Lookup Tables'!$A$4:$B$20,2,0)</f>
        <v>Jams, Preserves</v>
      </c>
      <c r="G95" t="str">
        <f>VLOOKUP(C95,'Lookup Tables'!$E$4:$K$11,7,0)</f>
        <v>East</v>
      </c>
    </row>
    <row r="96" spans="1:7" ht="15.75" customHeight="1" x14ac:dyDescent="0.3">
      <c r="A96" s="33">
        <v>1107</v>
      </c>
      <c r="B96" s="33">
        <v>10</v>
      </c>
      <c r="C96" s="33" t="s">
        <v>62</v>
      </c>
      <c r="D96" s="33" t="s">
        <v>65</v>
      </c>
      <c r="E96" s="34">
        <v>660</v>
      </c>
      <c r="F96" t="str">
        <f>VLOOKUP(Relationships!D96,'Lookup Tables'!$A$4:$B$20,2,0)</f>
        <v>Condiments</v>
      </c>
      <c r="G96" t="str">
        <f>VLOOKUP(C96,'Lookup Tables'!$E$4:$K$11,7,0)</f>
        <v>East</v>
      </c>
    </row>
    <row r="97" spans="1:7" ht="15.75" customHeight="1" x14ac:dyDescent="0.3">
      <c r="A97" s="33">
        <v>1108</v>
      </c>
      <c r="B97" s="33">
        <v>10</v>
      </c>
      <c r="C97" s="33" t="s">
        <v>62</v>
      </c>
      <c r="D97" s="33" t="s">
        <v>55</v>
      </c>
      <c r="E97" s="34">
        <v>377.2</v>
      </c>
      <c r="F97" t="str">
        <f>VLOOKUP(Relationships!D97,'Lookup Tables'!$A$4:$B$20,2,0)</f>
        <v>Baked Goods &amp; Mixes</v>
      </c>
      <c r="G97" t="str">
        <f>VLOOKUP(C97,'Lookup Tables'!$E$4:$K$11,7,0)</f>
        <v>East</v>
      </c>
    </row>
    <row r="98" spans="1:7" ht="15.75" customHeight="1" x14ac:dyDescent="0.3">
      <c r="A98" s="33">
        <v>1109</v>
      </c>
      <c r="B98" s="33">
        <v>11</v>
      </c>
      <c r="C98" s="33" t="s">
        <v>61</v>
      </c>
      <c r="D98" s="33" t="s">
        <v>48</v>
      </c>
      <c r="E98" s="34">
        <v>154</v>
      </c>
      <c r="F98" t="str">
        <f>VLOOKUP(Relationships!D98,'Lookup Tables'!$A$4:$B$20,2,0)</f>
        <v>Dried Fruit &amp; Nuts</v>
      </c>
      <c r="G98" t="str">
        <f>VLOOKUP(C98,'Lookup Tables'!$E$4:$K$11,7,0)</f>
        <v>South</v>
      </c>
    </row>
    <row r="99" spans="1:7" ht="15.75" customHeight="1" x14ac:dyDescent="0.3">
      <c r="A99" s="33">
        <v>1110</v>
      </c>
      <c r="B99" s="33">
        <v>11</v>
      </c>
      <c r="C99" s="33" t="s">
        <v>61</v>
      </c>
      <c r="D99" s="33" t="s">
        <v>63</v>
      </c>
      <c r="E99" s="34">
        <v>230.23000000000002</v>
      </c>
      <c r="F99" t="str">
        <f>VLOOKUP(Relationships!D99,'Lookup Tables'!$A$4:$B$20,2,0)</f>
        <v>Beverages</v>
      </c>
      <c r="G99" t="str">
        <f>VLOOKUP(C99,'Lookup Tables'!$E$4:$K$11,7,0)</f>
        <v>South</v>
      </c>
    </row>
    <row r="100" spans="1:7" ht="15.75" customHeight="1" x14ac:dyDescent="0.3">
      <c r="A100" s="33">
        <v>1111</v>
      </c>
      <c r="B100" s="33">
        <v>1</v>
      </c>
      <c r="C100" s="33" t="s">
        <v>54</v>
      </c>
      <c r="D100" s="33" t="s">
        <v>52</v>
      </c>
      <c r="E100" s="34">
        <v>522</v>
      </c>
      <c r="F100" t="str">
        <f>VLOOKUP(Relationships!D100,'Lookup Tables'!$A$4:$B$20,2,0)</f>
        <v>Beverages</v>
      </c>
      <c r="G100" t="str">
        <f>VLOOKUP(C100,'Lookup Tables'!$E$4:$K$11,7,0)</f>
        <v>North</v>
      </c>
    </row>
    <row r="101" spans="1:7" ht="15.75" customHeight="1" x14ac:dyDescent="0.3">
      <c r="A101" s="33">
        <v>1112</v>
      </c>
      <c r="B101" s="33">
        <v>1</v>
      </c>
      <c r="C101" s="33" t="s">
        <v>54</v>
      </c>
      <c r="D101" s="33" t="s">
        <v>53</v>
      </c>
      <c r="E101" s="34">
        <v>3542</v>
      </c>
      <c r="F101" t="str">
        <f>VLOOKUP(Relationships!D101,'Lookup Tables'!$A$4:$B$20,2,0)</f>
        <v>Beverages</v>
      </c>
      <c r="G101" t="str">
        <f>VLOOKUP(C101,'Lookup Tables'!$E$4:$K$11,7,0)</f>
        <v>North</v>
      </c>
    </row>
    <row r="102" spans="1:7" ht="15.75" customHeight="1" x14ac:dyDescent="0.3">
      <c r="A102" s="33">
        <v>1113</v>
      </c>
      <c r="B102" s="33">
        <v>1</v>
      </c>
      <c r="C102" s="33" t="s">
        <v>54</v>
      </c>
      <c r="D102" s="33" t="s">
        <v>63</v>
      </c>
      <c r="E102" s="34">
        <v>218.27</v>
      </c>
      <c r="F102" t="str">
        <f>VLOOKUP(Relationships!D102,'Lookup Tables'!$A$4:$B$20,2,0)</f>
        <v>Beverages</v>
      </c>
      <c r="G102" t="str">
        <f>VLOOKUP(C102,'Lookup Tables'!$E$4:$K$11,7,0)</f>
        <v>North</v>
      </c>
    </row>
    <row r="103" spans="1:7" ht="15.75" customHeight="1" x14ac:dyDescent="0.3">
      <c r="A103" s="33">
        <v>1114</v>
      </c>
      <c r="B103" s="33">
        <v>28</v>
      </c>
      <c r="C103" s="33" t="s">
        <v>61</v>
      </c>
      <c r="D103" s="33" t="s">
        <v>58</v>
      </c>
      <c r="E103" s="34">
        <v>714.1</v>
      </c>
      <c r="F103" t="str">
        <f>VLOOKUP(Relationships!D103,'Lookup Tables'!$A$4:$B$20,2,0)</f>
        <v>Soups</v>
      </c>
      <c r="G103" t="str">
        <f>VLOOKUP(C103,'Lookup Tables'!$E$4:$K$11,7,0)</f>
        <v>South</v>
      </c>
    </row>
    <row r="104" spans="1:7" ht="15.75" customHeight="1" x14ac:dyDescent="0.3">
      <c r="A104" s="33">
        <v>1115</v>
      </c>
      <c r="B104" s="33">
        <v>28</v>
      </c>
      <c r="C104" s="33" t="s">
        <v>61</v>
      </c>
      <c r="D104" s="33" t="s">
        <v>66</v>
      </c>
      <c r="E104" s="34">
        <v>459.99999999999994</v>
      </c>
      <c r="F104" t="str">
        <f>VLOOKUP(Relationships!D104,'Lookup Tables'!$A$4:$B$20,2,0)</f>
        <v>Canned Meat</v>
      </c>
      <c r="G104" t="str">
        <f>VLOOKUP(C104,'Lookup Tables'!$E$4:$K$11,7,0)</f>
        <v>South</v>
      </c>
    </row>
    <row r="105" spans="1:7" ht="15.75" customHeight="1" x14ac:dyDescent="0.3">
      <c r="A105" s="33">
        <v>1117</v>
      </c>
      <c r="B105" s="33">
        <v>9</v>
      </c>
      <c r="C105" s="33" t="s">
        <v>67</v>
      </c>
      <c r="D105" s="33" t="s">
        <v>68</v>
      </c>
      <c r="E105" s="34">
        <v>1287.5999999999999</v>
      </c>
      <c r="F105" t="str">
        <f>VLOOKUP(Relationships!D105,'Lookup Tables'!$A$4:$B$20,2,0)</f>
        <v>Dairy Products</v>
      </c>
      <c r="G105" t="str">
        <f>VLOOKUP(C105,'Lookup Tables'!$E$4:$K$11,7,0)</f>
        <v>West</v>
      </c>
    </row>
    <row r="106" spans="1:7" ht="15.75" customHeight="1" x14ac:dyDescent="0.3">
      <c r="A106" s="33">
        <v>1118</v>
      </c>
      <c r="B106" s="33">
        <v>6</v>
      </c>
      <c r="C106" s="33" t="s">
        <v>59</v>
      </c>
      <c r="D106" s="33" t="s">
        <v>65</v>
      </c>
      <c r="E106" s="34">
        <v>1176</v>
      </c>
      <c r="F106" t="str">
        <f>VLOOKUP(Relationships!D106,'Lookup Tables'!$A$4:$B$20,2,0)</f>
        <v>Condiments</v>
      </c>
      <c r="G106" t="str">
        <f>VLOOKUP(C106,'Lookup Tables'!$E$4:$K$11,7,0)</f>
        <v>North</v>
      </c>
    </row>
    <row r="107" spans="1:7" ht="15.75" customHeight="1" x14ac:dyDescent="0.3">
      <c r="A107" s="33">
        <v>1119</v>
      </c>
      <c r="B107" s="33">
        <v>8</v>
      </c>
      <c r="C107" s="33" t="s">
        <v>54</v>
      </c>
      <c r="D107" s="33" t="s">
        <v>60</v>
      </c>
      <c r="E107" s="34">
        <v>2920</v>
      </c>
      <c r="F107" t="str">
        <f>VLOOKUP(Relationships!D107,'Lookup Tables'!$A$4:$B$20,2,0)</f>
        <v>Sauces</v>
      </c>
      <c r="G107" t="str">
        <f>VLOOKUP(C107,'Lookup Tables'!$E$4:$K$11,7,0)</f>
        <v>North</v>
      </c>
    </row>
    <row r="108" spans="1:7" ht="15.75" customHeight="1" x14ac:dyDescent="0.3">
      <c r="A108" s="33">
        <v>1120</v>
      </c>
      <c r="B108" s="33">
        <v>8</v>
      </c>
      <c r="C108" s="33" t="s">
        <v>54</v>
      </c>
      <c r="D108" s="33" t="s">
        <v>55</v>
      </c>
      <c r="E108" s="34">
        <v>469.2</v>
      </c>
      <c r="F108" t="str">
        <f>VLOOKUP(Relationships!D108,'Lookup Tables'!$A$4:$B$20,2,0)</f>
        <v>Baked Goods &amp; Mixes</v>
      </c>
      <c r="G108" t="str">
        <f>VLOOKUP(C108,'Lookup Tables'!$E$4:$K$11,7,0)</f>
        <v>North</v>
      </c>
    </row>
    <row r="109" spans="1:7" ht="15.75" customHeight="1" x14ac:dyDescent="0.3">
      <c r="A109" s="33">
        <v>1121</v>
      </c>
      <c r="B109" s="33">
        <v>25</v>
      </c>
      <c r="C109" s="33" t="s">
        <v>62</v>
      </c>
      <c r="D109" s="33" t="s">
        <v>55</v>
      </c>
      <c r="E109" s="34">
        <v>660</v>
      </c>
      <c r="F109" t="str">
        <f>VLOOKUP(Relationships!D109,'Lookup Tables'!$A$4:$B$20,2,0)</f>
        <v>Baked Goods &amp; Mixes</v>
      </c>
      <c r="G109" t="str">
        <f>VLOOKUP(C109,'Lookup Tables'!$E$4:$K$11,7,0)</f>
        <v>East</v>
      </c>
    </row>
    <row r="110" spans="1:7" ht="15.75" customHeight="1" x14ac:dyDescent="0.3">
      <c r="A110" s="33">
        <v>1123</v>
      </c>
      <c r="B110" s="33">
        <v>26</v>
      </c>
      <c r="C110" s="33" t="s">
        <v>61</v>
      </c>
      <c r="D110" s="33" t="s">
        <v>58</v>
      </c>
      <c r="E110" s="34">
        <v>839.55000000000007</v>
      </c>
      <c r="F110" t="str">
        <f>VLOOKUP(Relationships!D110,'Lookup Tables'!$A$4:$B$20,2,0)</f>
        <v>Soups</v>
      </c>
      <c r="G110" t="str">
        <f>VLOOKUP(C110,'Lookup Tables'!$E$4:$K$11,7,0)</f>
        <v>South</v>
      </c>
    </row>
    <row r="111" spans="1:7" ht="15.75" customHeight="1" x14ac:dyDescent="0.3">
      <c r="A111" s="33">
        <v>1124</v>
      </c>
      <c r="B111" s="33">
        <v>26</v>
      </c>
      <c r="C111" s="33" t="s">
        <v>61</v>
      </c>
      <c r="D111" s="33" t="s">
        <v>66</v>
      </c>
      <c r="E111" s="34">
        <v>1177.5999999999999</v>
      </c>
      <c r="F111" t="str">
        <f>VLOOKUP(Relationships!D111,'Lookup Tables'!$A$4:$B$20,2,0)</f>
        <v>Canned Meat</v>
      </c>
      <c r="G111" t="str">
        <f>VLOOKUP(C111,'Lookup Tables'!$E$4:$K$11,7,0)</f>
        <v>South</v>
      </c>
    </row>
    <row r="112" spans="1:7" ht="15.75" customHeight="1" x14ac:dyDescent="0.3">
      <c r="A112" s="33">
        <v>1125</v>
      </c>
      <c r="B112" s="33">
        <v>29</v>
      </c>
      <c r="C112" s="33" t="s">
        <v>56</v>
      </c>
      <c r="D112" s="33" t="s">
        <v>48</v>
      </c>
      <c r="E112" s="34">
        <v>294</v>
      </c>
      <c r="F112" t="str">
        <f>VLOOKUP(Relationships!D112,'Lookup Tables'!$A$4:$B$20,2,0)</f>
        <v>Dried Fruit &amp; Nuts</v>
      </c>
      <c r="G112" t="str">
        <f>VLOOKUP(C112,'Lookup Tables'!$E$4:$K$11,7,0)</f>
        <v>West</v>
      </c>
    </row>
    <row r="113" spans="1:7" ht="15.75" customHeight="1" x14ac:dyDescent="0.3">
      <c r="A113" s="33">
        <v>1126</v>
      </c>
      <c r="B113" s="33">
        <v>6</v>
      </c>
      <c r="C113" s="33" t="s">
        <v>59</v>
      </c>
      <c r="D113" s="33" t="s">
        <v>57</v>
      </c>
      <c r="E113" s="34">
        <v>242.25</v>
      </c>
      <c r="F113" t="str">
        <f>VLOOKUP(Relationships!D113,'Lookup Tables'!$A$4:$B$20,2,0)</f>
        <v>Candy</v>
      </c>
      <c r="G113" t="str">
        <f>VLOOKUP(C113,'Lookup Tables'!$E$4:$K$11,7,0)</f>
        <v>North</v>
      </c>
    </row>
    <row r="114" spans="1:7" ht="15.75" customHeight="1" x14ac:dyDescent="0.3">
      <c r="A114" s="33">
        <v>1128</v>
      </c>
      <c r="B114" s="33">
        <v>4</v>
      </c>
      <c r="C114" s="33" t="s">
        <v>49</v>
      </c>
      <c r="D114" s="33" t="s">
        <v>69</v>
      </c>
      <c r="E114" s="34">
        <v>1863</v>
      </c>
      <c r="F114" t="str">
        <f>VLOOKUP(Relationships!D114,'Lookup Tables'!$A$4:$B$20,2,0)</f>
        <v>Condiments</v>
      </c>
      <c r="G114" t="str">
        <f>VLOOKUP(C114,'Lookup Tables'!$E$4:$K$11,7,0)</f>
        <v>East</v>
      </c>
    </row>
    <row r="115" spans="1:7" ht="15.75" customHeight="1" x14ac:dyDescent="0.3">
      <c r="A115" s="33">
        <v>1131</v>
      </c>
      <c r="B115" s="33">
        <v>8</v>
      </c>
      <c r="C115" s="33" t="s">
        <v>54</v>
      </c>
      <c r="D115" s="33" t="s">
        <v>68</v>
      </c>
      <c r="E115" s="34">
        <v>765.59999999999991</v>
      </c>
      <c r="F115" t="str">
        <f>VLOOKUP(Relationships!D115,'Lookup Tables'!$A$4:$B$20,2,0)</f>
        <v>Dairy Products</v>
      </c>
      <c r="G115" t="str">
        <f>VLOOKUP(C115,'Lookup Tables'!$E$4:$K$11,7,0)</f>
        <v>North</v>
      </c>
    </row>
    <row r="116" spans="1:7" ht="15.75" customHeight="1" x14ac:dyDescent="0.3">
      <c r="A116" s="33">
        <v>1134</v>
      </c>
      <c r="B116" s="33">
        <v>3</v>
      </c>
      <c r="C116" s="33" t="s">
        <v>46</v>
      </c>
      <c r="D116" s="33" t="s">
        <v>69</v>
      </c>
      <c r="E116" s="34">
        <v>820</v>
      </c>
      <c r="F116" t="str">
        <f>VLOOKUP(Relationships!D116,'Lookup Tables'!$A$4:$B$20,2,0)</f>
        <v>Condiments</v>
      </c>
      <c r="G116" t="str">
        <f>VLOOKUP(C116,'Lookup Tables'!$E$4:$K$11,7,0)</f>
        <v>West</v>
      </c>
    </row>
    <row r="117" spans="1:7" ht="15.75" customHeight="1" x14ac:dyDescent="0.3">
      <c r="A117" s="33">
        <v>1135</v>
      </c>
      <c r="B117" s="33">
        <v>3</v>
      </c>
      <c r="C117" s="33" t="s">
        <v>46</v>
      </c>
      <c r="D117" s="33" t="s">
        <v>60</v>
      </c>
      <c r="E117" s="34">
        <v>3920</v>
      </c>
      <c r="F117" t="str">
        <f>VLOOKUP(Relationships!D117,'Lookup Tables'!$A$4:$B$20,2,0)</f>
        <v>Sauces</v>
      </c>
      <c r="G117" t="str">
        <f>VLOOKUP(C117,'Lookup Tables'!$E$4:$K$11,7,0)</f>
        <v>West</v>
      </c>
    </row>
    <row r="118" spans="1:7" ht="15.75" customHeight="1" x14ac:dyDescent="0.3">
      <c r="A118" s="33">
        <v>1138</v>
      </c>
      <c r="B118" s="33">
        <v>7</v>
      </c>
      <c r="C118" s="33" t="s">
        <v>54</v>
      </c>
      <c r="D118" s="33" t="s">
        <v>53</v>
      </c>
      <c r="E118" s="34">
        <v>3266</v>
      </c>
      <c r="F118" t="str">
        <f>VLOOKUP(Relationships!D118,'Lookup Tables'!$A$4:$B$20,2,0)</f>
        <v>Beverages</v>
      </c>
      <c r="G118" t="str">
        <f>VLOOKUP(C118,'Lookup Tables'!$E$4:$K$11,7,0)</f>
        <v>North</v>
      </c>
    </row>
    <row r="119" spans="1:7" ht="15.75" customHeight="1" x14ac:dyDescent="0.3">
      <c r="A119" s="33">
        <v>1139</v>
      </c>
      <c r="B119" s="33">
        <v>10</v>
      </c>
      <c r="C119" s="33" t="s">
        <v>62</v>
      </c>
      <c r="D119" s="33" t="s">
        <v>64</v>
      </c>
      <c r="E119" s="34">
        <v>1000</v>
      </c>
      <c r="F119" t="str">
        <f>VLOOKUP(Relationships!D119,'Lookup Tables'!$A$4:$B$20,2,0)</f>
        <v>Jams, Preserves</v>
      </c>
      <c r="G119" t="str">
        <f>VLOOKUP(C119,'Lookup Tables'!$E$4:$K$11,7,0)</f>
        <v>East</v>
      </c>
    </row>
    <row r="120" spans="1:7" ht="15.75" customHeight="1" x14ac:dyDescent="0.3">
      <c r="A120" s="33">
        <v>1140</v>
      </c>
      <c r="B120" s="33">
        <v>10</v>
      </c>
      <c r="C120" s="33" t="s">
        <v>62</v>
      </c>
      <c r="D120" s="33" t="s">
        <v>65</v>
      </c>
      <c r="E120" s="34">
        <v>1760</v>
      </c>
      <c r="F120" t="str">
        <f>VLOOKUP(Relationships!D120,'Lookup Tables'!$A$4:$B$20,2,0)</f>
        <v>Condiments</v>
      </c>
      <c r="G120" t="str">
        <f>VLOOKUP(C120,'Lookup Tables'!$E$4:$K$11,7,0)</f>
        <v>East</v>
      </c>
    </row>
    <row r="121" spans="1:7" ht="15.75" customHeight="1" x14ac:dyDescent="0.3">
      <c r="A121" s="33">
        <v>1141</v>
      </c>
      <c r="B121" s="33">
        <v>10</v>
      </c>
      <c r="C121" s="33" t="s">
        <v>62</v>
      </c>
      <c r="D121" s="33" t="s">
        <v>55</v>
      </c>
      <c r="E121" s="34">
        <v>349.59999999999997</v>
      </c>
      <c r="F121" t="str">
        <f>VLOOKUP(Relationships!D121,'Lookup Tables'!$A$4:$B$20,2,0)</f>
        <v>Baked Goods &amp; Mixes</v>
      </c>
      <c r="G121" t="str">
        <f>VLOOKUP(C121,'Lookup Tables'!$E$4:$K$11,7,0)</f>
        <v>East</v>
      </c>
    </row>
    <row r="122" spans="1:7" ht="15.75" customHeight="1" x14ac:dyDescent="0.3">
      <c r="A122" s="33">
        <v>1142</v>
      </c>
      <c r="B122" s="33">
        <v>11</v>
      </c>
      <c r="C122" s="33" t="s">
        <v>61</v>
      </c>
      <c r="D122" s="33" t="s">
        <v>48</v>
      </c>
      <c r="E122" s="34">
        <v>98</v>
      </c>
      <c r="F122" t="str">
        <f>VLOOKUP(Relationships!D122,'Lookup Tables'!$A$4:$B$20,2,0)</f>
        <v>Dried Fruit &amp; Nuts</v>
      </c>
      <c r="G122" t="str">
        <f>VLOOKUP(C122,'Lookup Tables'!$E$4:$K$11,7,0)</f>
        <v>South</v>
      </c>
    </row>
    <row r="123" spans="1:7" ht="15.75" customHeight="1" x14ac:dyDescent="0.3">
      <c r="A123" s="33">
        <v>1143</v>
      </c>
      <c r="B123" s="33">
        <v>11</v>
      </c>
      <c r="C123" s="33" t="s">
        <v>61</v>
      </c>
      <c r="D123" s="33" t="s">
        <v>63</v>
      </c>
      <c r="E123" s="34">
        <v>179.4</v>
      </c>
      <c r="F123" t="str">
        <f>VLOOKUP(Relationships!D123,'Lookup Tables'!$A$4:$B$20,2,0)</f>
        <v>Beverages</v>
      </c>
      <c r="G123" t="str">
        <f>VLOOKUP(C123,'Lookup Tables'!$E$4:$K$11,7,0)</f>
        <v>South</v>
      </c>
    </row>
    <row r="124" spans="1:7" ht="15.75" customHeight="1" x14ac:dyDescent="0.3">
      <c r="A124" s="33">
        <v>1144</v>
      </c>
      <c r="B124" s="33">
        <v>1</v>
      </c>
      <c r="C124" s="33" t="s">
        <v>54</v>
      </c>
      <c r="D124" s="33" t="s">
        <v>52</v>
      </c>
      <c r="E124" s="34">
        <v>594</v>
      </c>
      <c r="F124" t="str">
        <f>VLOOKUP(Relationships!D124,'Lookup Tables'!$A$4:$B$20,2,0)</f>
        <v>Beverages</v>
      </c>
      <c r="G124" t="str">
        <f>VLOOKUP(C124,'Lookup Tables'!$E$4:$K$11,7,0)</f>
        <v>North</v>
      </c>
    </row>
    <row r="125" spans="1:7" ht="15.75" customHeight="1" x14ac:dyDescent="0.3">
      <c r="A125" s="33">
        <v>1145</v>
      </c>
      <c r="B125" s="33">
        <v>1</v>
      </c>
      <c r="C125" s="33" t="s">
        <v>54</v>
      </c>
      <c r="D125" s="33" t="s">
        <v>53</v>
      </c>
      <c r="E125" s="34">
        <v>1012</v>
      </c>
      <c r="F125" t="str">
        <f>VLOOKUP(Relationships!D125,'Lookup Tables'!$A$4:$B$20,2,0)</f>
        <v>Beverages</v>
      </c>
      <c r="G125" t="str">
        <f>VLOOKUP(C125,'Lookup Tables'!$E$4:$K$11,7,0)</f>
        <v>North</v>
      </c>
    </row>
    <row r="126" spans="1:7" ht="15.75" customHeight="1" x14ac:dyDescent="0.3">
      <c r="A126" s="33">
        <v>1146</v>
      </c>
      <c r="B126" s="33">
        <v>1</v>
      </c>
      <c r="C126" s="33" t="s">
        <v>54</v>
      </c>
      <c r="D126" s="33" t="s">
        <v>63</v>
      </c>
      <c r="E126" s="34">
        <v>152.49</v>
      </c>
      <c r="F126" t="str">
        <f>VLOOKUP(Relationships!D126,'Lookup Tables'!$A$4:$B$20,2,0)</f>
        <v>Beverages</v>
      </c>
      <c r="G126" t="str">
        <f>VLOOKUP(C126,'Lookup Tables'!$E$4:$K$11,7,0)</f>
        <v>North</v>
      </c>
    </row>
    <row r="127" spans="1:7" ht="15.75" customHeight="1" x14ac:dyDescent="0.3">
      <c r="A127" s="33">
        <v>1147</v>
      </c>
      <c r="B127" s="33">
        <v>28</v>
      </c>
      <c r="C127" s="33" t="s">
        <v>61</v>
      </c>
      <c r="D127" s="33" t="s">
        <v>58</v>
      </c>
      <c r="E127" s="34">
        <v>579</v>
      </c>
      <c r="F127" t="str">
        <f>VLOOKUP(Relationships!D127,'Lookup Tables'!$A$4:$B$20,2,0)</f>
        <v>Soups</v>
      </c>
      <c r="G127" t="str">
        <f>VLOOKUP(C127,'Lookup Tables'!$E$4:$K$11,7,0)</f>
        <v>South</v>
      </c>
    </row>
    <row r="128" spans="1:7" ht="15.75" customHeight="1" x14ac:dyDescent="0.3">
      <c r="A128" s="33">
        <v>1148</v>
      </c>
      <c r="B128" s="33">
        <v>28</v>
      </c>
      <c r="C128" s="33" t="s">
        <v>61</v>
      </c>
      <c r="D128" s="33" t="s">
        <v>66</v>
      </c>
      <c r="E128" s="34">
        <v>1803.1999999999998</v>
      </c>
      <c r="F128" t="str">
        <f>VLOOKUP(Relationships!D128,'Lookup Tables'!$A$4:$B$20,2,0)</f>
        <v>Canned Meat</v>
      </c>
      <c r="G128" t="str">
        <f>VLOOKUP(C128,'Lookup Tables'!$E$4:$K$11,7,0)</f>
        <v>South</v>
      </c>
    </row>
    <row r="129" spans="1:7" ht="15.75" customHeight="1" x14ac:dyDescent="0.3">
      <c r="A129" s="33">
        <v>1150</v>
      </c>
      <c r="B129" s="33">
        <v>9</v>
      </c>
      <c r="C129" s="33" t="s">
        <v>67</v>
      </c>
      <c r="D129" s="33" t="s">
        <v>68</v>
      </c>
      <c r="E129" s="34">
        <v>3062.3999999999996</v>
      </c>
      <c r="F129" t="str">
        <f>VLOOKUP(Relationships!D129,'Lookup Tables'!$A$4:$B$20,2,0)</f>
        <v>Dairy Products</v>
      </c>
      <c r="G129" t="str">
        <f>VLOOKUP(C129,'Lookup Tables'!$E$4:$K$11,7,0)</f>
        <v>West</v>
      </c>
    </row>
    <row r="130" spans="1:7" ht="15.75" customHeight="1" x14ac:dyDescent="0.3">
      <c r="A130" s="33">
        <v>1151</v>
      </c>
      <c r="B130" s="33">
        <v>6</v>
      </c>
      <c r="C130" s="33" t="s">
        <v>59</v>
      </c>
      <c r="D130" s="33" t="s">
        <v>63</v>
      </c>
      <c r="E130" s="34">
        <v>910</v>
      </c>
      <c r="F130" t="str">
        <f>VLOOKUP(Relationships!D130,'Lookup Tables'!$A$4:$B$20,2,0)</f>
        <v>Beverages</v>
      </c>
      <c r="G130" t="str">
        <f>VLOOKUP(C130,'Lookup Tables'!$E$4:$K$11,7,0)</f>
        <v>North</v>
      </c>
    </row>
    <row r="131" spans="1:7" ht="15.75" customHeight="1" x14ac:dyDescent="0.3">
      <c r="A131" s="33">
        <v>1152</v>
      </c>
      <c r="B131" s="33">
        <v>8</v>
      </c>
      <c r="C131" s="33" t="s">
        <v>54</v>
      </c>
      <c r="D131" s="33" t="s">
        <v>60</v>
      </c>
      <c r="E131" s="34">
        <v>1520</v>
      </c>
      <c r="F131" t="str">
        <f>VLOOKUP(Relationships!D131,'Lookup Tables'!$A$4:$B$20,2,0)</f>
        <v>Sauces</v>
      </c>
      <c r="G131" t="str">
        <f>VLOOKUP(C131,'Lookup Tables'!$E$4:$K$11,7,0)</f>
        <v>North</v>
      </c>
    </row>
    <row r="132" spans="1:7" ht="15.75" customHeight="1" x14ac:dyDescent="0.3">
      <c r="A132" s="33">
        <v>1153</v>
      </c>
      <c r="B132" s="33">
        <v>8</v>
      </c>
      <c r="C132" s="33" t="s">
        <v>54</v>
      </c>
      <c r="D132" s="33" t="s">
        <v>55</v>
      </c>
      <c r="E132" s="34">
        <v>736</v>
      </c>
      <c r="F132" t="str">
        <f>VLOOKUP(Relationships!D132,'Lookup Tables'!$A$4:$B$20,2,0)</f>
        <v>Baked Goods &amp; Mixes</v>
      </c>
      <c r="G132" t="str">
        <f>VLOOKUP(C132,'Lookup Tables'!$E$4:$K$11,7,0)</f>
        <v>North</v>
      </c>
    </row>
    <row r="133" spans="1:7" ht="15.75" customHeight="1" x14ac:dyDescent="0.3">
      <c r="A133" s="33">
        <v>1154</v>
      </c>
      <c r="B133" s="33">
        <v>25</v>
      </c>
      <c r="C133" s="33" t="s">
        <v>62</v>
      </c>
      <c r="D133" s="33" t="s">
        <v>55</v>
      </c>
      <c r="E133" s="34">
        <v>490</v>
      </c>
      <c r="F133" t="str">
        <f>VLOOKUP(Relationships!D133,'Lookup Tables'!$A$4:$B$20,2,0)</f>
        <v>Baked Goods &amp; Mixes</v>
      </c>
      <c r="G133" t="str">
        <f>VLOOKUP(C133,'Lookup Tables'!$E$4:$K$11,7,0)</f>
        <v>East</v>
      </c>
    </row>
    <row r="134" spans="1:7" ht="15.75" customHeight="1" x14ac:dyDescent="0.3">
      <c r="A134" s="33">
        <v>1156</v>
      </c>
      <c r="B134" s="33">
        <v>26</v>
      </c>
      <c r="C134" s="33" t="s">
        <v>61</v>
      </c>
      <c r="D134" s="33" t="s">
        <v>58</v>
      </c>
      <c r="E134" s="34">
        <v>579</v>
      </c>
      <c r="F134" t="str">
        <f>VLOOKUP(Relationships!D134,'Lookup Tables'!$A$4:$B$20,2,0)</f>
        <v>Soups</v>
      </c>
      <c r="G134" t="str">
        <f>VLOOKUP(C134,'Lookup Tables'!$E$4:$K$11,7,0)</f>
        <v>South</v>
      </c>
    </row>
    <row r="135" spans="1:7" ht="15.75" customHeight="1" x14ac:dyDescent="0.3">
      <c r="A135" s="33">
        <v>1157</v>
      </c>
      <c r="B135" s="33">
        <v>26</v>
      </c>
      <c r="C135" s="33" t="s">
        <v>61</v>
      </c>
      <c r="D135" s="33" t="s">
        <v>66</v>
      </c>
      <c r="E135" s="34">
        <v>717.59999999999991</v>
      </c>
      <c r="F135" t="str">
        <f>VLOOKUP(Relationships!D135,'Lookup Tables'!$A$4:$B$20,2,0)</f>
        <v>Canned Meat</v>
      </c>
      <c r="G135" t="str">
        <f>VLOOKUP(C135,'Lookup Tables'!$E$4:$K$11,7,0)</f>
        <v>South</v>
      </c>
    </row>
    <row r="136" spans="1:7" ht="15.75" customHeight="1" x14ac:dyDescent="0.3">
      <c r="A136" s="33">
        <v>1158</v>
      </c>
      <c r="B136" s="33">
        <v>29</v>
      </c>
      <c r="C136" s="33" t="s">
        <v>56</v>
      </c>
      <c r="D136" s="33" t="s">
        <v>63</v>
      </c>
      <c r="E136" s="34">
        <v>1106</v>
      </c>
      <c r="F136" t="str">
        <f>VLOOKUP(Relationships!D136,'Lookup Tables'!$A$4:$B$20,2,0)</f>
        <v>Beverages</v>
      </c>
      <c r="G136" t="str">
        <f>VLOOKUP(C136,'Lookup Tables'!$E$4:$K$11,7,0)</f>
        <v>West</v>
      </c>
    </row>
    <row r="137" spans="1:7" ht="15.75" customHeight="1" x14ac:dyDescent="0.3">
      <c r="A137" s="33">
        <v>1159</v>
      </c>
      <c r="B137" s="33">
        <v>6</v>
      </c>
      <c r="C137" s="33" t="s">
        <v>59</v>
      </c>
      <c r="D137" s="33" t="s">
        <v>57</v>
      </c>
      <c r="E137" s="34">
        <v>561</v>
      </c>
      <c r="F137" t="str">
        <f>VLOOKUP(Relationships!D137,'Lookup Tables'!$A$4:$B$20,2,0)</f>
        <v>Candy</v>
      </c>
      <c r="G137" t="str">
        <f>VLOOKUP(C137,'Lookup Tables'!$E$4:$K$11,7,0)</f>
        <v>North</v>
      </c>
    </row>
    <row r="138" spans="1:7" ht="15.75" customHeight="1" x14ac:dyDescent="0.3">
      <c r="A138" s="33">
        <v>1161</v>
      </c>
      <c r="B138" s="33">
        <v>4</v>
      </c>
      <c r="C138" s="33" t="s">
        <v>49</v>
      </c>
      <c r="D138" s="33" t="s">
        <v>47</v>
      </c>
      <c r="E138" s="34">
        <v>7938</v>
      </c>
      <c r="F138" t="str">
        <f>VLOOKUP(Relationships!D138,'Lookup Tables'!$A$4:$B$20,2,0)</f>
        <v>Beverages</v>
      </c>
      <c r="G138" t="str">
        <f>VLOOKUP(C138,'Lookup Tables'!$E$4:$K$11,7,0)</f>
        <v>East</v>
      </c>
    </row>
    <row r="139" spans="1:7" ht="15.75" customHeight="1" x14ac:dyDescent="0.3">
      <c r="A139" s="33">
        <v>1164</v>
      </c>
      <c r="B139" s="33">
        <v>8</v>
      </c>
      <c r="C139" s="33" t="s">
        <v>54</v>
      </c>
      <c r="D139" s="33" t="s">
        <v>68</v>
      </c>
      <c r="E139" s="34">
        <v>1044</v>
      </c>
      <c r="F139" t="str">
        <f>VLOOKUP(Relationships!D139,'Lookup Tables'!$A$4:$B$20,2,0)</f>
        <v>Dairy Products</v>
      </c>
      <c r="G139" t="str">
        <f>VLOOKUP(C139,'Lookup Tables'!$E$4:$K$11,7,0)</f>
        <v>North</v>
      </c>
    </row>
    <row r="140" spans="1:7" ht="15.75" customHeight="1" x14ac:dyDescent="0.3">
      <c r="A140" s="33">
        <v>1167</v>
      </c>
      <c r="B140" s="33">
        <v>3</v>
      </c>
      <c r="C140" s="33" t="s">
        <v>46</v>
      </c>
      <c r="D140" s="33" t="s">
        <v>69</v>
      </c>
      <c r="E140" s="34">
        <v>240</v>
      </c>
      <c r="F140" t="str">
        <f>VLOOKUP(Relationships!D140,'Lookup Tables'!$A$4:$B$20,2,0)</f>
        <v>Condiments</v>
      </c>
      <c r="G140" t="str">
        <f>VLOOKUP(C140,'Lookup Tables'!$E$4:$K$11,7,0)</f>
        <v>West</v>
      </c>
    </row>
    <row r="141" spans="1:7" ht="15.75" customHeight="1" x14ac:dyDescent="0.3">
      <c r="A141" s="33">
        <v>1168</v>
      </c>
      <c r="B141" s="33">
        <v>3</v>
      </c>
      <c r="C141" s="33" t="s">
        <v>46</v>
      </c>
      <c r="D141" s="33" t="s">
        <v>60</v>
      </c>
      <c r="E141" s="34">
        <v>1120</v>
      </c>
      <c r="F141" t="str">
        <f>VLOOKUP(Relationships!D141,'Lookup Tables'!$A$4:$B$20,2,0)</f>
        <v>Sauces</v>
      </c>
      <c r="G141" t="str">
        <f>VLOOKUP(C141,'Lookup Tables'!$E$4:$K$11,7,0)</f>
        <v>West</v>
      </c>
    </row>
    <row r="142" spans="1:7" ht="15.75" customHeight="1" x14ac:dyDescent="0.3">
      <c r="A142" s="33">
        <v>1172</v>
      </c>
      <c r="B142" s="33">
        <v>10</v>
      </c>
      <c r="C142" s="33" t="s">
        <v>62</v>
      </c>
      <c r="D142" s="33" t="s">
        <v>48</v>
      </c>
      <c r="E142" s="34">
        <v>740</v>
      </c>
      <c r="F142" t="str">
        <f>VLOOKUP(Relationships!D142,'Lookup Tables'!$A$4:$B$20,2,0)</f>
        <v>Dried Fruit &amp; Nuts</v>
      </c>
      <c r="G142" t="str">
        <f>VLOOKUP(C142,'Lookup Tables'!$E$4:$K$11,7,0)</f>
        <v>East</v>
      </c>
    </row>
    <row r="143" spans="1:7" ht="15.75" customHeight="1" x14ac:dyDescent="0.3">
      <c r="A143" s="33">
        <v>1174</v>
      </c>
      <c r="B143" s="33">
        <v>10</v>
      </c>
      <c r="C143" s="33" t="s">
        <v>62</v>
      </c>
      <c r="D143" s="33" t="s">
        <v>48</v>
      </c>
      <c r="E143" s="34">
        <v>315</v>
      </c>
      <c r="F143" t="str">
        <f>VLOOKUP(Relationships!D143,'Lookup Tables'!$A$4:$B$20,2,0)</f>
        <v>Dried Fruit &amp; Nuts</v>
      </c>
      <c r="G143" t="str">
        <f>VLOOKUP(C143,'Lookup Tables'!$E$4:$K$11,7,0)</f>
        <v>East</v>
      </c>
    </row>
    <row r="144" spans="1:7" ht="15.75" customHeight="1" x14ac:dyDescent="0.3">
      <c r="A144" s="33">
        <v>1175</v>
      </c>
      <c r="B144" s="33">
        <v>11</v>
      </c>
      <c r="C144" s="33" t="s">
        <v>61</v>
      </c>
      <c r="D144" s="33" t="s">
        <v>60</v>
      </c>
      <c r="E144" s="34">
        <v>1080</v>
      </c>
      <c r="F144" t="str">
        <f>VLOOKUP(Relationships!D144,'Lookup Tables'!$A$4:$B$20,2,0)</f>
        <v>Sauces</v>
      </c>
      <c r="G144" t="str">
        <f>VLOOKUP(C144,'Lookup Tables'!$E$4:$K$11,7,0)</f>
        <v>South</v>
      </c>
    </row>
    <row r="145" spans="1:7" ht="15.75" customHeight="1" x14ac:dyDescent="0.3">
      <c r="A145" s="33">
        <v>1176</v>
      </c>
      <c r="B145" s="33">
        <v>1</v>
      </c>
      <c r="C145" s="33" t="s">
        <v>54</v>
      </c>
      <c r="D145" s="33" t="s">
        <v>66</v>
      </c>
      <c r="E145" s="34">
        <v>1306.3999999999999</v>
      </c>
      <c r="F145" t="str">
        <f>VLOOKUP(Relationships!D145,'Lookup Tables'!$A$4:$B$20,2,0)</f>
        <v>Canned Meat</v>
      </c>
      <c r="G145" t="str">
        <f>VLOOKUP(C145,'Lookup Tables'!$E$4:$K$11,7,0)</f>
        <v>North</v>
      </c>
    </row>
    <row r="146" spans="1:7" ht="15.75" customHeight="1" x14ac:dyDescent="0.3">
      <c r="A146" s="33">
        <v>1177</v>
      </c>
      <c r="B146" s="33">
        <v>28</v>
      </c>
      <c r="C146" s="33" t="s">
        <v>61</v>
      </c>
      <c r="D146" s="33" t="s">
        <v>53</v>
      </c>
      <c r="E146" s="34">
        <v>3404</v>
      </c>
      <c r="F146" t="str">
        <f>VLOOKUP(Relationships!D146,'Lookup Tables'!$A$4:$B$20,2,0)</f>
        <v>Beverages</v>
      </c>
      <c r="G146" t="str">
        <f>VLOOKUP(C146,'Lookup Tables'!$E$4:$K$11,7,0)</f>
        <v>South</v>
      </c>
    </row>
    <row r="147" spans="1:7" ht="15.75" customHeight="1" x14ac:dyDescent="0.3">
      <c r="A147" s="33">
        <v>1178</v>
      </c>
      <c r="B147" s="33">
        <v>9</v>
      </c>
      <c r="C147" s="33" t="s">
        <v>67</v>
      </c>
      <c r="D147" s="33" t="s">
        <v>58</v>
      </c>
      <c r="E147" s="34">
        <v>733.4</v>
      </c>
      <c r="F147" t="str">
        <f>VLOOKUP(Relationships!D147,'Lookup Tables'!$A$4:$B$20,2,0)</f>
        <v>Soups</v>
      </c>
      <c r="G147" t="str">
        <f>VLOOKUP(C147,'Lookup Tables'!$E$4:$K$11,7,0)</f>
        <v>West</v>
      </c>
    </row>
    <row r="148" spans="1:7" ht="15.75" customHeight="1" x14ac:dyDescent="0.3">
      <c r="A148" s="33">
        <v>1179</v>
      </c>
      <c r="B148" s="33">
        <v>6</v>
      </c>
      <c r="C148" s="33" t="s">
        <v>59</v>
      </c>
      <c r="D148" s="33" t="s">
        <v>57</v>
      </c>
      <c r="E148" s="34">
        <v>1224</v>
      </c>
      <c r="F148" t="str">
        <f>VLOOKUP(Relationships!D148,'Lookup Tables'!$A$4:$B$20,2,0)</f>
        <v>Candy</v>
      </c>
      <c r="G148" t="str">
        <f>VLOOKUP(C148,'Lookup Tables'!$E$4:$K$11,7,0)</f>
        <v>North</v>
      </c>
    </row>
    <row r="149" spans="1:7" ht="15.75" customHeight="1" x14ac:dyDescent="0.3">
      <c r="A149" s="33">
        <v>1180</v>
      </c>
      <c r="B149" s="33">
        <v>8</v>
      </c>
      <c r="C149" s="33" t="s">
        <v>54</v>
      </c>
      <c r="D149" s="33" t="s">
        <v>57</v>
      </c>
      <c r="E149" s="34">
        <v>1173</v>
      </c>
      <c r="F149" t="str">
        <f>VLOOKUP(Relationships!D149,'Lookup Tables'!$A$4:$B$20,2,0)</f>
        <v>Candy</v>
      </c>
      <c r="G149" t="str">
        <f>VLOOKUP(C149,'Lookup Tables'!$E$4:$K$11,7,0)</f>
        <v>North</v>
      </c>
    </row>
    <row r="150" spans="1:7" ht="15.75" customHeight="1" x14ac:dyDescent="0.3">
      <c r="A150" s="33">
        <v>1181</v>
      </c>
      <c r="B150" s="33">
        <v>25</v>
      </c>
      <c r="C150" s="33" t="s">
        <v>62</v>
      </c>
      <c r="D150" s="33" t="s">
        <v>65</v>
      </c>
      <c r="E150" s="34">
        <v>2046</v>
      </c>
      <c r="F150" t="str">
        <f>VLOOKUP(Relationships!D150,'Lookup Tables'!$A$4:$B$20,2,0)</f>
        <v>Condiments</v>
      </c>
      <c r="G150" t="str">
        <f>VLOOKUP(C150,'Lookup Tables'!$E$4:$K$11,7,0)</f>
        <v>East</v>
      </c>
    </row>
    <row r="151" spans="1:7" ht="15.75" customHeight="1" x14ac:dyDescent="0.3">
      <c r="A151" s="33">
        <v>1182</v>
      </c>
      <c r="B151" s="33">
        <v>26</v>
      </c>
      <c r="C151" s="33" t="s">
        <v>61</v>
      </c>
      <c r="D151" s="33" t="s">
        <v>64</v>
      </c>
      <c r="E151" s="34">
        <v>450</v>
      </c>
      <c r="F151" t="str">
        <f>VLOOKUP(Relationships!D151,'Lookup Tables'!$A$4:$B$20,2,0)</f>
        <v>Jams, Preserves</v>
      </c>
      <c r="G151" t="str">
        <f>VLOOKUP(C151,'Lookup Tables'!$E$4:$K$11,7,0)</f>
        <v>South</v>
      </c>
    </row>
    <row r="152" spans="1:7" ht="15.75" customHeight="1" x14ac:dyDescent="0.3">
      <c r="A152" s="33">
        <v>1183</v>
      </c>
      <c r="B152" s="33">
        <v>29</v>
      </c>
      <c r="C152" s="33" t="s">
        <v>56</v>
      </c>
      <c r="D152" s="33" t="s">
        <v>65</v>
      </c>
      <c r="E152" s="34">
        <v>3822</v>
      </c>
      <c r="F152" t="str">
        <f>VLOOKUP(Relationships!D152,'Lookup Tables'!$A$4:$B$20,2,0)</f>
        <v>Condiments</v>
      </c>
      <c r="G152" t="str">
        <f>VLOOKUP(C152,'Lookup Tables'!$E$4:$K$11,7,0)</f>
        <v>West</v>
      </c>
    </row>
    <row r="153" spans="1:7" ht="15.75" customHeight="1" x14ac:dyDescent="0.3">
      <c r="A153" s="33">
        <v>1184</v>
      </c>
      <c r="B153" s="33">
        <v>6</v>
      </c>
      <c r="C153" s="33" t="s">
        <v>59</v>
      </c>
      <c r="D153" s="33" t="s">
        <v>50</v>
      </c>
      <c r="E153" s="34">
        <v>1380</v>
      </c>
      <c r="F153" t="str">
        <f>VLOOKUP(Relationships!D153,'Lookup Tables'!$A$4:$B$20,2,0)</f>
        <v>Dried Fruit &amp; Nuts</v>
      </c>
      <c r="G153" t="str">
        <f>VLOOKUP(C153,'Lookup Tables'!$E$4:$K$11,7,0)</f>
        <v>North</v>
      </c>
    </row>
    <row r="154" spans="1:7" ht="15.75" customHeight="1" x14ac:dyDescent="0.3">
      <c r="A154" s="33">
        <v>1185</v>
      </c>
      <c r="B154" s="33">
        <v>6</v>
      </c>
      <c r="C154" s="33" t="s">
        <v>59</v>
      </c>
      <c r="D154" s="33" t="s">
        <v>51</v>
      </c>
      <c r="E154" s="34">
        <v>742</v>
      </c>
      <c r="F154" t="str">
        <f>VLOOKUP(Relationships!D154,'Lookup Tables'!$A$4:$B$20,2,0)</f>
        <v>Dried Fruit &amp; Nuts</v>
      </c>
      <c r="G154" t="str">
        <f>VLOOKUP(C154,'Lookup Tables'!$E$4:$K$11,7,0)</f>
        <v>North</v>
      </c>
    </row>
    <row r="155" spans="1:7" ht="15.75" customHeight="1" x14ac:dyDescent="0.3">
      <c r="A155" s="33">
        <v>1187</v>
      </c>
      <c r="B155" s="33">
        <v>3</v>
      </c>
      <c r="C155" s="33" t="s">
        <v>46</v>
      </c>
      <c r="D155" s="33" t="s">
        <v>63</v>
      </c>
      <c r="E155" s="34">
        <v>263.12</v>
      </c>
      <c r="F155" t="str">
        <f>VLOOKUP(Relationships!D155,'Lookup Tables'!$A$4:$B$20,2,0)</f>
        <v>Beverages</v>
      </c>
      <c r="G155" t="str">
        <f>VLOOKUP(C155,'Lookup Tables'!$E$4:$K$11,7,0)</f>
        <v>West</v>
      </c>
    </row>
    <row r="156" spans="1:7" ht="15.75" customHeight="1" x14ac:dyDescent="0.3">
      <c r="A156" s="33">
        <v>1188</v>
      </c>
      <c r="B156" s="33">
        <v>1</v>
      </c>
      <c r="C156" s="33" t="s">
        <v>54</v>
      </c>
      <c r="D156" s="33" t="s">
        <v>63</v>
      </c>
      <c r="E156" s="34">
        <v>242.19000000000003</v>
      </c>
      <c r="F156" t="str">
        <f>VLOOKUP(Relationships!D156,'Lookup Tables'!$A$4:$B$20,2,0)</f>
        <v>Beverages</v>
      </c>
      <c r="G156" t="str">
        <f>VLOOKUP(C156,'Lookup Tables'!$E$4:$K$11,7,0)</f>
        <v>North</v>
      </c>
    </row>
    <row r="157" spans="1:7" ht="15.75" customHeight="1" x14ac:dyDescent="0.3">
      <c r="A157" s="33">
        <v>1189</v>
      </c>
      <c r="B157" s="33">
        <v>28</v>
      </c>
      <c r="C157" s="33" t="s">
        <v>61</v>
      </c>
      <c r="D157" s="33" t="s">
        <v>58</v>
      </c>
      <c r="E157" s="34">
        <v>318.45</v>
      </c>
      <c r="F157" t="str">
        <f>VLOOKUP(Relationships!D157,'Lookup Tables'!$A$4:$B$20,2,0)</f>
        <v>Soups</v>
      </c>
      <c r="G157" t="str">
        <f>VLOOKUP(C157,'Lookup Tables'!$E$4:$K$11,7,0)</f>
        <v>South</v>
      </c>
    </row>
    <row r="158" spans="1:7" ht="15.75" customHeight="1" x14ac:dyDescent="0.3">
      <c r="A158" s="33">
        <v>1190</v>
      </c>
      <c r="B158" s="33">
        <v>28</v>
      </c>
      <c r="C158" s="33" t="s">
        <v>61</v>
      </c>
      <c r="D158" s="33" t="s">
        <v>66</v>
      </c>
      <c r="E158" s="34">
        <v>864.8</v>
      </c>
      <c r="F158" t="str">
        <f>VLOOKUP(Relationships!D158,'Lookup Tables'!$A$4:$B$20,2,0)</f>
        <v>Canned Meat</v>
      </c>
      <c r="G158" t="str">
        <f>VLOOKUP(C158,'Lookup Tables'!$E$4:$K$11,7,0)</f>
        <v>South</v>
      </c>
    </row>
    <row r="159" spans="1:7" ht="15.75" customHeight="1" x14ac:dyDescent="0.3">
      <c r="A159" s="33">
        <v>1192</v>
      </c>
      <c r="B159" s="33">
        <v>9</v>
      </c>
      <c r="C159" s="33" t="s">
        <v>67</v>
      </c>
      <c r="D159" s="33" t="s">
        <v>68</v>
      </c>
      <c r="E159" s="34">
        <v>939.59999999999991</v>
      </c>
      <c r="F159" t="str">
        <f>VLOOKUP(Relationships!D159,'Lookup Tables'!$A$4:$B$20,2,0)</f>
        <v>Dairy Products</v>
      </c>
      <c r="G159" t="str">
        <f>VLOOKUP(C159,'Lookup Tables'!$E$4:$K$11,7,0)</f>
        <v>West</v>
      </c>
    </row>
    <row r="160" spans="1:7" ht="15.75" customHeight="1" x14ac:dyDescent="0.3">
      <c r="A160" s="33">
        <v>1193</v>
      </c>
      <c r="B160" s="33">
        <v>6</v>
      </c>
      <c r="C160" s="33" t="s">
        <v>59</v>
      </c>
      <c r="D160" s="33" t="s">
        <v>58</v>
      </c>
      <c r="E160" s="34">
        <v>1176</v>
      </c>
      <c r="F160" t="str">
        <f>VLOOKUP(Relationships!D160,'Lookup Tables'!$A$4:$B$20,2,0)</f>
        <v>Soups</v>
      </c>
      <c r="G160" t="str">
        <f>VLOOKUP(C160,'Lookup Tables'!$E$4:$K$11,7,0)</f>
        <v>North</v>
      </c>
    </row>
    <row r="161" spans="1:7" ht="15.75" customHeight="1" x14ac:dyDescent="0.3">
      <c r="A161" s="33">
        <v>1194</v>
      </c>
      <c r="B161" s="33">
        <v>8</v>
      </c>
      <c r="C161" s="33" t="s">
        <v>54</v>
      </c>
      <c r="D161" s="33" t="s">
        <v>60</v>
      </c>
      <c r="E161" s="34">
        <v>3640</v>
      </c>
      <c r="F161" t="str">
        <f>VLOOKUP(Relationships!D161,'Lookup Tables'!$A$4:$B$20,2,0)</f>
        <v>Sauces</v>
      </c>
      <c r="G161" t="str">
        <f>VLOOKUP(C161,'Lookup Tables'!$E$4:$K$11,7,0)</f>
        <v>North</v>
      </c>
    </row>
    <row r="162" spans="1:7" ht="15.75" customHeight="1" x14ac:dyDescent="0.3">
      <c r="A162" s="33">
        <v>1195</v>
      </c>
      <c r="B162" s="33">
        <v>8</v>
      </c>
      <c r="C162" s="33" t="s">
        <v>54</v>
      </c>
      <c r="D162" s="33" t="s">
        <v>55</v>
      </c>
      <c r="E162" s="34">
        <v>331.2</v>
      </c>
      <c r="F162" t="str">
        <f>VLOOKUP(Relationships!D162,'Lookup Tables'!$A$4:$B$20,2,0)</f>
        <v>Baked Goods &amp; Mixes</v>
      </c>
      <c r="G162" t="str">
        <f>VLOOKUP(C162,'Lookup Tables'!$E$4:$K$11,7,0)</f>
        <v>North</v>
      </c>
    </row>
    <row r="163" spans="1:7" ht="15.75" customHeight="1" x14ac:dyDescent="0.3">
      <c r="A163" s="33">
        <v>1196</v>
      </c>
      <c r="B163" s="33">
        <v>25</v>
      </c>
      <c r="C163" s="33" t="s">
        <v>62</v>
      </c>
      <c r="D163" s="33" t="s">
        <v>69</v>
      </c>
      <c r="E163" s="34">
        <v>340</v>
      </c>
      <c r="F163" t="str">
        <f>VLOOKUP(Relationships!D163,'Lookup Tables'!$A$4:$B$20,2,0)</f>
        <v>Condiments</v>
      </c>
      <c r="G163" t="str">
        <f>VLOOKUP(C163,'Lookup Tables'!$E$4:$K$11,7,0)</f>
        <v>East</v>
      </c>
    </row>
    <row r="164" spans="1:7" ht="15.75" customHeight="1" x14ac:dyDescent="0.3">
      <c r="A164" s="33">
        <v>1198</v>
      </c>
      <c r="B164" s="33">
        <v>26</v>
      </c>
      <c r="C164" s="33" t="s">
        <v>61</v>
      </c>
      <c r="D164" s="33" t="s">
        <v>58</v>
      </c>
      <c r="E164" s="34">
        <v>241.25</v>
      </c>
      <c r="F164" t="str">
        <f>VLOOKUP(Relationships!D164,'Lookup Tables'!$A$4:$B$20,2,0)</f>
        <v>Soups</v>
      </c>
      <c r="G164" t="str">
        <f>VLOOKUP(C164,'Lookup Tables'!$E$4:$K$11,7,0)</f>
        <v>South</v>
      </c>
    </row>
    <row r="165" spans="1:7" ht="15.75" customHeight="1" x14ac:dyDescent="0.3">
      <c r="A165" s="33">
        <v>1199</v>
      </c>
      <c r="B165" s="33">
        <v>26</v>
      </c>
      <c r="C165" s="33" t="s">
        <v>61</v>
      </c>
      <c r="D165" s="33" t="s">
        <v>66</v>
      </c>
      <c r="E165" s="34">
        <v>220.79999999999998</v>
      </c>
      <c r="F165" t="str">
        <f>VLOOKUP(Relationships!D165,'Lookup Tables'!$A$4:$B$20,2,0)</f>
        <v>Canned Meat</v>
      </c>
      <c r="G165" t="str">
        <f>VLOOKUP(C165,'Lookup Tables'!$E$4:$K$11,7,0)</f>
        <v>South</v>
      </c>
    </row>
    <row r="166" spans="1:7" ht="15.75" customHeight="1" x14ac:dyDescent="0.3">
      <c r="A166" s="33">
        <v>1200</v>
      </c>
      <c r="B166" s="33">
        <v>29</v>
      </c>
      <c r="C166" s="33" t="s">
        <v>56</v>
      </c>
      <c r="D166" s="33" t="s">
        <v>53</v>
      </c>
      <c r="E166" s="34">
        <v>322</v>
      </c>
      <c r="F166" t="str">
        <f>VLOOKUP(Relationships!D166,'Lookup Tables'!$A$4:$B$20,2,0)</f>
        <v>Beverages</v>
      </c>
      <c r="G166" t="str">
        <f>VLOOKUP(C166,'Lookup Tables'!$E$4:$K$11,7,0)</f>
        <v>West</v>
      </c>
    </row>
    <row r="167" spans="1:7" ht="15.75" customHeight="1" x14ac:dyDescent="0.3">
      <c r="A167" s="33">
        <v>1201</v>
      </c>
      <c r="B167" s="33">
        <v>6</v>
      </c>
      <c r="C167" s="33" t="s">
        <v>59</v>
      </c>
      <c r="D167" s="33" t="s">
        <v>57</v>
      </c>
      <c r="E167" s="34">
        <v>969</v>
      </c>
      <c r="F167" t="str">
        <f>VLOOKUP(Relationships!D167,'Lookup Tables'!$A$4:$B$20,2,0)</f>
        <v>Candy</v>
      </c>
      <c r="G167" t="str">
        <f>VLOOKUP(C167,'Lookup Tables'!$E$4:$K$11,7,0)</f>
        <v>North</v>
      </c>
    </row>
    <row r="168" spans="1:7" ht="15.75" customHeight="1" x14ac:dyDescent="0.3">
      <c r="A168" s="33">
        <v>1203</v>
      </c>
      <c r="B168" s="33">
        <v>4</v>
      </c>
      <c r="C168" s="33" t="s">
        <v>49</v>
      </c>
      <c r="D168" s="33" t="s">
        <v>51</v>
      </c>
      <c r="E168" s="34">
        <v>4455</v>
      </c>
      <c r="F168" t="str">
        <f>VLOOKUP(Relationships!D168,'Lookup Tables'!$A$4:$B$20,2,0)</f>
        <v>Dried Fruit &amp; Nuts</v>
      </c>
      <c r="G168" t="str">
        <f>VLOOKUP(C168,'Lookup Tables'!$E$4:$K$11,7,0)</f>
        <v>East</v>
      </c>
    </row>
    <row r="169" spans="1:7" ht="15.75" customHeight="1" x14ac:dyDescent="0.3">
      <c r="A169" s="33">
        <v>1206</v>
      </c>
      <c r="B169" s="33">
        <v>8</v>
      </c>
      <c r="C169" s="33" t="s">
        <v>54</v>
      </c>
      <c r="D169" s="33" t="s">
        <v>68</v>
      </c>
      <c r="E169" s="34">
        <v>939.59999999999991</v>
      </c>
      <c r="F169" t="str">
        <f>VLOOKUP(Relationships!D169,'Lookup Tables'!$A$4:$B$20,2,0)</f>
        <v>Dairy Products</v>
      </c>
      <c r="G169" t="str">
        <f>VLOOKUP(C169,'Lookup Tables'!$E$4:$K$11,7,0)</f>
        <v>North</v>
      </c>
    </row>
    <row r="170" spans="1:7" ht="15.75" customHeight="1" x14ac:dyDescent="0.3">
      <c r="A170" s="33">
        <v>1209</v>
      </c>
      <c r="B170" s="33">
        <v>3</v>
      </c>
      <c r="C170" s="33" t="s">
        <v>46</v>
      </c>
      <c r="D170" s="33" t="s">
        <v>69</v>
      </c>
      <c r="E170" s="34">
        <v>990</v>
      </c>
      <c r="F170" t="str">
        <f>VLOOKUP(Relationships!D170,'Lookup Tables'!$A$4:$B$20,2,0)</f>
        <v>Condiments</v>
      </c>
      <c r="G170" t="str">
        <f>VLOOKUP(C170,'Lookup Tables'!$E$4:$K$11,7,0)</f>
        <v>West</v>
      </c>
    </row>
    <row r="171" spans="1:7" ht="15.75" customHeight="1" x14ac:dyDescent="0.3">
      <c r="A171" s="33">
        <v>1210</v>
      </c>
      <c r="B171" s="33">
        <v>3</v>
      </c>
      <c r="C171" s="33" t="s">
        <v>46</v>
      </c>
      <c r="D171" s="33" t="s">
        <v>60</v>
      </c>
      <c r="E171" s="34">
        <v>400</v>
      </c>
      <c r="F171" t="str">
        <f>VLOOKUP(Relationships!D171,'Lookup Tables'!$A$4:$B$20,2,0)</f>
        <v>Sauces</v>
      </c>
      <c r="G171" t="str">
        <f>VLOOKUP(C171,'Lookup Tables'!$E$4:$K$11,7,0)</f>
        <v>West</v>
      </c>
    </row>
    <row r="172" spans="1:7" ht="15.75" customHeight="1" x14ac:dyDescent="0.3">
      <c r="A172" s="33">
        <v>1214</v>
      </c>
      <c r="B172" s="33">
        <v>10</v>
      </c>
      <c r="C172" s="33" t="s">
        <v>62</v>
      </c>
      <c r="D172" s="33" t="s">
        <v>47</v>
      </c>
      <c r="E172" s="34">
        <v>800</v>
      </c>
      <c r="F172" t="str">
        <f>VLOOKUP(Relationships!D172,'Lookup Tables'!$A$4:$B$20,2,0)</f>
        <v>Beverages</v>
      </c>
      <c r="G172" t="str">
        <f>VLOOKUP(C172,'Lookup Tables'!$E$4:$K$11,7,0)</f>
        <v>East</v>
      </c>
    </row>
    <row r="173" spans="1:7" ht="15.75" customHeight="1" x14ac:dyDescent="0.3">
      <c r="A173" s="33">
        <v>1216</v>
      </c>
      <c r="B173" s="33">
        <v>10</v>
      </c>
      <c r="C173" s="33" t="s">
        <v>62</v>
      </c>
      <c r="D173" s="33" t="s">
        <v>48</v>
      </c>
      <c r="E173" s="34">
        <v>94.5</v>
      </c>
      <c r="F173" t="str">
        <f>VLOOKUP(Relationships!D173,'Lookup Tables'!$A$4:$B$20,2,0)</f>
        <v>Dried Fruit &amp; Nuts</v>
      </c>
      <c r="G173" t="str">
        <f>VLOOKUP(C173,'Lookup Tables'!$E$4:$K$11,7,0)</f>
        <v>East</v>
      </c>
    </row>
    <row r="174" spans="1:7" ht="15.75" customHeight="1" x14ac:dyDescent="0.3">
      <c r="A174" s="33">
        <v>1217</v>
      </c>
      <c r="B174" s="33">
        <v>11</v>
      </c>
      <c r="C174" s="33" t="s">
        <v>61</v>
      </c>
      <c r="D174" s="33" t="s">
        <v>60</v>
      </c>
      <c r="E174" s="34">
        <v>3880</v>
      </c>
      <c r="F174" t="str">
        <f>VLOOKUP(Relationships!D174,'Lookup Tables'!$A$4:$B$20,2,0)</f>
        <v>Sauces</v>
      </c>
      <c r="G174" t="str">
        <f>VLOOKUP(C174,'Lookup Tables'!$E$4:$K$11,7,0)</f>
        <v>South</v>
      </c>
    </row>
    <row r="175" spans="1:7" ht="15.75" customHeight="1" x14ac:dyDescent="0.3">
      <c r="A175" s="33">
        <v>1218</v>
      </c>
      <c r="B175" s="33">
        <v>1</v>
      </c>
      <c r="C175" s="33" t="s">
        <v>54</v>
      </c>
      <c r="D175" s="33" t="s">
        <v>66</v>
      </c>
      <c r="E175" s="34">
        <v>772.8</v>
      </c>
      <c r="F175" t="str">
        <f>VLOOKUP(Relationships!D175,'Lookup Tables'!$A$4:$B$20,2,0)</f>
        <v>Canned Meat</v>
      </c>
      <c r="G175" t="str">
        <f>VLOOKUP(C175,'Lookup Tables'!$E$4:$K$11,7,0)</f>
        <v>North</v>
      </c>
    </row>
    <row r="176" spans="1:7" ht="15.75" customHeight="1" x14ac:dyDescent="0.3">
      <c r="A176" s="33">
        <v>1219</v>
      </c>
      <c r="B176" s="33">
        <v>28</v>
      </c>
      <c r="C176" s="33" t="s">
        <v>61</v>
      </c>
      <c r="D176" s="33" t="s">
        <v>53</v>
      </c>
      <c r="E176" s="34">
        <v>1104</v>
      </c>
      <c r="F176" t="str">
        <f>VLOOKUP(Relationships!D176,'Lookup Tables'!$A$4:$B$20,2,0)</f>
        <v>Beverages</v>
      </c>
      <c r="G176" t="str">
        <f>VLOOKUP(C176,'Lookup Tables'!$E$4:$K$11,7,0)</f>
        <v>South</v>
      </c>
    </row>
    <row r="177" spans="1:7" ht="15.75" customHeight="1" x14ac:dyDescent="0.3">
      <c r="A177" s="33">
        <v>1220</v>
      </c>
      <c r="B177" s="33">
        <v>9</v>
      </c>
      <c r="C177" s="33" t="s">
        <v>67</v>
      </c>
      <c r="D177" s="33" t="s">
        <v>58</v>
      </c>
      <c r="E177" s="34">
        <v>868.5</v>
      </c>
      <c r="F177" t="str">
        <f>VLOOKUP(Relationships!D177,'Lookup Tables'!$A$4:$B$20,2,0)</f>
        <v>Soups</v>
      </c>
      <c r="G177" t="str">
        <f>VLOOKUP(C177,'Lookup Tables'!$E$4:$K$11,7,0)</f>
        <v>West</v>
      </c>
    </row>
    <row r="178" spans="1:7" ht="15.75" customHeight="1" x14ac:dyDescent="0.3">
      <c r="A178" s="33">
        <v>1221</v>
      </c>
      <c r="B178" s="33">
        <v>6</v>
      </c>
      <c r="C178" s="33" t="s">
        <v>59</v>
      </c>
      <c r="D178" s="33" t="s">
        <v>57</v>
      </c>
      <c r="E178" s="34">
        <v>357</v>
      </c>
      <c r="F178" t="str">
        <f>VLOOKUP(Relationships!D178,'Lookup Tables'!$A$4:$B$20,2,0)</f>
        <v>Candy</v>
      </c>
      <c r="G178" t="str">
        <f>VLOOKUP(C178,'Lookup Tables'!$E$4:$K$11,7,0)</f>
        <v>North</v>
      </c>
    </row>
    <row r="179" spans="1:7" ht="15.75" customHeight="1" x14ac:dyDescent="0.3">
      <c r="A179" s="33">
        <v>1222</v>
      </c>
      <c r="B179" s="33">
        <v>28</v>
      </c>
      <c r="C179" s="33" t="s">
        <v>61</v>
      </c>
      <c r="D179" s="33" t="s">
        <v>53</v>
      </c>
      <c r="E179" s="34">
        <v>1288</v>
      </c>
      <c r="F179" t="str">
        <f>VLOOKUP(Relationships!D179,'Lookup Tables'!$A$4:$B$20,2,0)</f>
        <v>Beverages</v>
      </c>
      <c r="G179" t="str">
        <f>VLOOKUP(C179,'Lookup Tables'!$E$4:$K$11,7,0)</f>
        <v>South</v>
      </c>
    </row>
    <row r="180" spans="1:7" ht="15.75" customHeight="1" x14ac:dyDescent="0.3">
      <c r="A180" s="33">
        <v>1223</v>
      </c>
      <c r="B180" s="33">
        <v>8</v>
      </c>
      <c r="C180" s="33" t="s">
        <v>54</v>
      </c>
      <c r="D180" s="33" t="s">
        <v>57</v>
      </c>
      <c r="E180" s="34">
        <v>726.75</v>
      </c>
      <c r="F180" t="str">
        <f>VLOOKUP(Relationships!D180,'Lookup Tables'!$A$4:$B$20,2,0)</f>
        <v>Candy</v>
      </c>
      <c r="G180" t="str">
        <f>VLOOKUP(C180,'Lookup Tables'!$E$4:$K$11,7,0)</f>
        <v>North</v>
      </c>
    </row>
    <row r="181" spans="1:7" ht="15.75" customHeight="1" x14ac:dyDescent="0.3">
      <c r="A181" s="33">
        <v>1224</v>
      </c>
      <c r="B181" s="33">
        <v>10</v>
      </c>
      <c r="C181" s="33" t="s">
        <v>62</v>
      </c>
      <c r="D181" s="33" t="s">
        <v>63</v>
      </c>
      <c r="E181" s="34">
        <v>68.77000000000001</v>
      </c>
      <c r="F181" t="str">
        <f>VLOOKUP(Relationships!D181,'Lookup Tables'!$A$4:$B$20,2,0)</f>
        <v>Beverages</v>
      </c>
      <c r="G181" t="str">
        <f>VLOOKUP(C181,'Lookup Tables'!$E$4:$K$11,7,0)</f>
        <v>East</v>
      </c>
    </row>
    <row r="182" spans="1:7" ht="15.75" customHeight="1" x14ac:dyDescent="0.3">
      <c r="A182" s="33">
        <v>1225</v>
      </c>
      <c r="B182" s="33">
        <v>7</v>
      </c>
      <c r="C182" s="33" t="s">
        <v>54</v>
      </c>
      <c r="D182" s="33" t="s">
        <v>53</v>
      </c>
      <c r="E182" s="34">
        <v>3956</v>
      </c>
      <c r="F182" t="str">
        <f>VLOOKUP(Relationships!D182,'Lookup Tables'!$A$4:$B$20,2,0)</f>
        <v>Beverages</v>
      </c>
      <c r="G182" t="str">
        <f>VLOOKUP(C182,'Lookup Tables'!$E$4:$K$11,7,0)</f>
        <v>North</v>
      </c>
    </row>
    <row r="183" spans="1:7" ht="15.75" customHeight="1" x14ac:dyDescent="0.3">
      <c r="A183" s="33">
        <v>1226</v>
      </c>
      <c r="B183" s="33">
        <v>10</v>
      </c>
      <c r="C183" s="33" t="s">
        <v>62</v>
      </c>
      <c r="D183" s="33" t="s">
        <v>64</v>
      </c>
      <c r="E183" s="34">
        <v>1175</v>
      </c>
      <c r="F183" t="str">
        <f>VLOOKUP(Relationships!D183,'Lookup Tables'!$A$4:$B$20,2,0)</f>
        <v>Jams, Preserves</v>
      </c>
      <c r="G183" t="str">
        <f>VLOOKUP(C183,'Lookup Tables'!$E$4:$K$11,7,0)</f>
        <v>East</v>
      </c>
    </row>
    <row r="184" spans="1:7" ht="15.75" customHeight="1" x14ac:dyDescent="0.3">
      <c r="A184" s="33">
        <v>1227</v>
      </c>
      <c r="B184" s="33">
        <v>10</v>
      </c>
      <c r="C184" s="33" t="s">
        <v>62</v>
      </c>
      <c r="D184" s="33" t="s">
        <v>65</v>
      </c>
      <c r="E184" s="34">
        <v>2134</v>
      </c>
      <c r="F184" t="str">
        <f>VLOOKUP(Relationships!D184,'Lookup Tables'!$A$4:$B$20,2,0)</f>
        <v>Condiments</v>
      </c>
      <c r="G184" t="str">
        <f>VLOOKUP(C184,'Lookup Tables'!$E$4:$K$11,7,0)</f>
        <v>East</v>
      </c>
    </row>
    <row r="185" spans="1:7" ht="15.75" customHeight="1" x14ac:dyDescent="0.3">
      <c r="A185" s="33">
        <v>1228</v>
      </c>
      <c r="B185" s="33">
        <v>10</v>
      </c>
      <c r="C185" s="33" t="s">
        <v>62</v>
      </c>
      <c r="D185" s="33" t="s">
        <v>55</v>
      </c>
      <c r="E185" s="34">
        <v>883.19999999999993</v>
      </c>
      <c r="F185" t="str">
        <f>VLOOKUP(Relationships!D185,'Lookup Tables'!$A$4:$B$20,2,0)</f>
        <v>Baked Goods &amp; Mixes</v>
      </c>
      <c r="G185" t="str">
        <f>VLOOKUP(C185,'Lookup Tables'!$E$4:$K$11,7,0)</f>
        <v>East</v>
      </c>
    </row>
    <row r="186" spans="1:7" ht="15.75" customHeight="1" x14ac:dyDescent="0.3">
      <c r="A186" s="33">
        <v>1229</v>
      </c>
      <c r="B186" s="33">
        <v>11</v>
      </c>
      <c r="C186" s="33" t="s">
        <v>61</v>
      </c>
      <c r="D186" s="33" t="s">
        <v>48</v>
      </c>
      <c r="E186" s="34">
        <v>108.5</v>
      </c>
      <c r="F186" t="str">
        <f>VLOOKUP(Relationships!D186,'Lookup Tables'!$A$4:$B$20,2,0)</f>
        <v>Dried Fruit &amp; Nuts</v>
      </c>
      <c r="G186" t="str">
        <f>VLOOKUP(C186,'Lookup Tables'!$E$4:$K$11,7,0)</f>
        <v>South</v>
      </c>
    </row>
    <row r="187" spans="1:7" ht="15.75" customHeight="1" x14ac:dyDescent="0.3">
      <c r="A187" s="33">
        <v>1230</v>
      </c>
      <c r="B187" s="33">
        <v>11</v>
      </c>
      <c r="C187" s="33" t="s">
        <v>61</v>
      </c>
      <c r="D187" s="33" t="s">
        <v>63</v>
      </c>
      <c r="E187" s="34">
        <v>155.48000000000002</v>
      </c>
      <c r="F187" t="str">
        <f>VLOOKUP(Relationships!D187,'Lookup Tables'!$A$4:$B$20,2,0)</f>
        <v>Beverages</v>
      </c>
      <c r="G187" t="str">
        <f>VLOOKUP(C187,'Lookup Tables'!$E$4:$K$11,7,0)</f>
        <v>South</v>
      </c>
    </row>
    <row r="188" spans="1:7" ht="15.75" customHeight="1" x14ac:dyDescent="0.3">
      <c r="A188" s="33">
        <v>1231</v>
      </c>
      <c r="B188" s="33">
        <v>1</v>
      </c>
      <c r="C188" s="33" t="s">
        <v>54</v>
      </c>
      <c r="D188" s="33" t="s">
        <v>52</v>
      </c>
      <c r="E188" s="34">
        <v>1638</v>
      </c>
      <c r="F188" t="str">
        <f>VLOOKUP(Relationships!D188,'Lookup Tables'!$A$4:$B$20,2,0)</f>
        <v>Beverages</v>
      </c>
      <c r="G188" t="str">
        <f>VLOOKUP(C188,'Lookup Tables'!$E$4:$K$11,7,0)</f>
        <v>North</v>
      </c>
    </row>
    <row r="189" spans="1:7" ht="15.75" customHeight="1" x14ac:dyDescent="0.3">
      <c r="A189" s="33">
        <v>1232</v>
      </c>
      <c r="B189" s="33">
        <v>1</v>
      </c>
      <c r="C189" s="33" t="s">
        <v>54</v>
      </c>
      <c r="D189" s="33" t="s">
        <v>53</v>
      </c>
      <c r="E189" s="34">
        <v>644</v>
      </c>
      <c r="F189" t="str">
        <f>VLOOKUP(Relationships!D189,'Lookup Tables'!$A$4:$B$20,2,0)</f>
        <v>Beverages</v>
      </c>
      <c r="G189" t="str">
        <f>VLOOKUP(C189,'Lookup Tables'!$E$4:$K$11,7,0)</f>
        <v>North</v>
      </c>
    </row>
    <row r="190" spans="1:7" ht="15.75" customHeight="1" x14ac:dyDescent="0.3">
      <c r="A190" s="33">
        <v>1233</v>
      </c>
      <c r="B190" s="33">
        <v>1</v>
      </c>
      <c r="C190" s="33" t="s">
        <v>54</v>
      </c>
      <c r="D190" s="33" t="s">
        <v>63</v>
      </c>
      <c r="E190" s="34">
        <v>131.56</v>
      </c>
      <c r="F190" t="str">
        <f>VLOOKUP(Relationships!D190,'Lookup Tables'!$A$4:$B$20,2,0)</f>
        <v>Beverages</v>
      </c>
      <c r="G190" t="str">
        <f>VLOOKUP(C190,'Lookup Tables'!$E$4:$K$11,7,0)</f>
        <v>North</v>
      </c>
    </row>
    <row r="191" spans="1:7" ht="15.75" customHeight="1" x14ac:dyDescent="0.3">
      <c r="A191" s="33">
        <v>1234</v>
      </c>
      <c r="B191" s="33">
        <v>28</v>
      </c>
      <c r="C191" s="33" t="s">
        <v>61</v>
      </c>
      <c r="D191" s="33" t="s">
        <v>58</v>
      </c>
      <c r="E191" s="34">
        <v>936.05000000000007</v>
      </c>
      <c r="F191" t="str">
        <f>VLOOKUP(Relationships!D191,'Lookup Tables'!$A$4:$B$20,2,0)</f>
        <v>Soups</v>
      </c>
      <c r="G191" t="str">
        <f>VLOOKUP(C191,'Lookup Tables'!$E$4:$K$11,7,0)</f>
        <v>South</v>
      </c>
    </row>
    <row r="192" spans="1:7" ht="15.75" customHeight="1" x14ac:dyDescent="0.3">
      <c r="A192" s="33">
        <v>1235</v>
      </c>
      <c r="B192" s="33">
        <v>28</v>
      </c>
      <c r="C192" s="33" t="s">
        <v>61</v>
      </c>
      <c r="D192" s="33" t="s">
        <v>66</v>
      </c>
      <c r="E192" s="34">
        <v>1472</v>
      </c>
      <c r="F192" t="str">
        <f>VLOOKUP(Relationships!D192,'Lookup Tables'!$A$4:$B$20,2,0)</f>
        <v>Canned Meat</v>
      </c>
      <c r="G192" t="str">
        <f>VLOOKUP(C192,'Lookup Tables'!$E$4:$K$11,7,0)</f>
        <v>South</v>
      </c>
    </row>
    <row r="193" spans="1:7" ht="15.75" customHeight="1" x14ac:dyDescent="0.3">
      <c r="A193" s="33">
        <v>1237</v>
      </c>
      <c r="B193" s="33">
        <v>9</v>
      </c>
      <c r="C193" s="33" t="s">
        <v>67</v>
      </c>
      <c r="D193" s="33" t="s">
        <v>68</v>
      </c>
      <c r="E193" s="34">
        <v>1113.5999999999999</v>
      </c>
      <c r="F193" t="str">
        <f>VLOOKUP(Relationships!D193,'Lookup Tables'!$A$4:$B$20,2,0)</f>
        <v>Dairy Products</v>
      </c>
      <c r="G193" t="str">
        <f>VLOOKUP(C193,'Lookup Tables'!$E$4:$K$11,7,0)</f>
        <v>West</v>
      </c>
    </row>
    <row r="194" spans="1:7" ht="15.75" customHeight="1" x14ac:dyDescent="0.3">
      <c r="A194" s="33">
        <v>1238</v>
      </c>
      <c r="B194" s="33">
        <v>6</v>
      </c>
      <c r="C194" s="33" t="s">
        <v>59</v>
      </c>
      <c r="D194" s="33" t="s">
        <v>47</v>
      </c>
      <c r="E194" s="34">
        <v>728</v>
      </c>
      <c r="F194" t="str">
        <f>VLOOKUP(Relationships!D194,'Lookup Tables'!$A$4:$B$20,2,0)</f>
        <v>Beverages</v>
      </c>
      <c r="G194" t="str">
        <f>VLOOKUP(C194,'Lookup Tables'!$E$4:$K$11,7,0)</f>
        <v>North</v>
      </c>
    </row>
    <row r="195" spans="1:7" ht="15.75" customHeight="1" x14ac:dyDescent="0.3">
      <c r="A195" s="33">
        <v>1239</v>
      </c>
      <c r="B195" s="33">
        <v>8</v>
      </c>
      <c r="C195" s="33" t="s">
        <v>54</v>
      </c>
      <c r="D195" s="33" t="s">
        <v>60</v>
      </c>
      <c r="E195" s="34">
        <v>3120</v>
      </c>
      <c r="F195" t="str">
        <f>VLOOKUP(Relationships!D195,'Lookup Tables'!$A$4:$B$20,2,0)</f>
        <v>Sauces</v>
      </c>
      <c r="G195" t="str">
        <f>VLOOKUP(C195,'Lookup Tables'!$E$4:$K$11,7,0)</f>
        <v>North</v>
      </c>
    </row>
    <row r="196" spans="1:7" ht="15.75" customHeight="1" x14ac:dyDescent="0.3">
      <c r="A196" s="33">
        <v>1240</v>
      </c>
      <c r="B196" s="33">
        <v>8</v>
      </c>
      <c r="C196" s="33" t="s">
        <v>54</v>
      </c>
      <c r="D196" s="33" t="s">
        <v>55</v>
      </c>
      <c r="E196" s="34">
        <v>496.79999999999995</v>
      </c>
      <c r="F196" t="str">
        <f>VLOOKUP(Relationships!D196,'Lookup Tables'!$A$4:$B$20,2,0)</f>
        <v>Baked Goods &amp; Mixes</v>
      </c>
      <c r="G196" t="str">
        <f>VLOOKUP(C196,'Lookup Tables'!$E$4:$K$11,7,0)</f>
        <v>North</v>
      </c>
    </row>
    <row r="197" spans="1:7" ht="15.75" customHeight="1" x14ac:dyDescent="0.3">
      <c r="A197" s="33">
        <v>1241</v>
      </c>
      <c r="B197" s="33">
        <v>25</v>
      </c>
      <c r="C197" s="33" t="s">
        <v>62</v>
      </c>
      <c r="D197" s="33" t="s">
        <v>52</v>
      </c>
      <c r="E197" s="34">
        <v>550</v>
      </c>
      <c r="F197" t="str">
        <f>VLOOKUP(Relationships!D197,'Lookup Tables'!$A$4:$B$20,2,0)</f>
        <v>Beverages</v>
      </c>
      <c r="G197" t="str">
        <f>VLOOKUP(C197,'Lookup Tables'!$E$4:$K$11,7,0)</f>
        <v>East</v>
      </c>
    </row>
    <row r="198" spans="1:7" ht="15.75" customHeight="1" x14ac:dyDescent="0.3">
      <c r="A198" s="33">
        <v>1243</v>
      </c>
      <c r="B198" s="33">
        <v>26</v>
      </c>
      <c r="C198" s="33" t="s">
        <v>61</v>
      </c>
      <c r="D198" s="33" t="s">
        <v>58</v>
      </c>
      <c r="E198" s="34">
        <v>183.35</v>
      </c>
      <c r="F198" t="str">
        <f>VLOOKUP(Relationships!D198,'Lookup Tables'!$A$4:$B$20,2,0)</f>
        <v>Soups</v>
      </c>
      <c r="G198" t="str">
        <f>VLOOKUP(C198,'Lookup Tables'!$E$4:$K$11,7,0)</f>
        <v>South</v>
      </c>
    </row>
    <row r="199" spans="1:7" ht="15.75" customHeight="1" x14ac:dyDescent="0.3">
      <c r="A199" s="33">
        <v>1244</v>
      </c>
      <c r="B199" s="33">
        <v>26</v>
      </c>
      <c r="C199" s="33" t="s">
        <v>61</v>
      </c>
      <c r="D199" s="33" t="s">
        <v>66</v>
      </c>
      <c r="E199" s="34">
        <v>1214.3999999999999</v>
      </c>
      <c r="F199" t="str">
        <f>VLOOKUP(Relationships!D199,'Lookup Tables'!$A$4:$B$20,2,0)</f>
        <v>Canned Meat</v>
      </c>
      <c r="G199" t="str">
        <f>VLOOKUP(C199,'Lookup Tables'!$E$4:$K$11,7,0)</f>
        <v>South</v>
      </c>
    </row>
    <row r="200" spans="1:7" ht="15.75" customHeight="1" x14ac:dyDescent="0.3">
      <c r="A200" s="33">
        <v>1245</v>
      </c>
      <c r="B200" s="33">
        <v>29</v>
      </c>
      <c r="C200" s="33" t="s">
        <v>56</v>
      </c>
      <c r="D200" s="33" t="s">
        <v>69</v>
      </c>
      <c r="E200" s="34">
        <v>588</v>
      </c>
      <c r="F200" t="str">
        <f>VLOOKUP(Relationships!D200,'Lookup Tables'!$A$4:$B$20,2,0)</f>
        <v>Condiments</v>
      </c>
      <c r="G200" t="str">
        <f>VLOOKUP(C200,'Lookup Tables'!$E$4:$K$11,7,0)</f>
        <v>West</v>
      </c>
    </row>
    <row r="201" spans="1:7" ht="15.75" customHeight="1" x14ac:dyDescent="0.3">
      <c r="A201" s="33">
        <v>1246</v>
      </c>
      <c r="B201" s="33">
        <v>6</v>
      </c>
      <c r="C201" s="33" t="s">
        <v>59</v>
      </c>
      <c r="D201" s="33" t="s">
        <v>57</v>
      </c>
      <c r="E201" s="34">
        <v>918</v>
      </c>
      <c r="F201" t="str">
        <f>VLOOKUP(Relationships!D201,'Lookup Tables'!$A$4:$B$20,2,0)</f>
        <v>Candy</v>
      </c>
      <c r="G201" t="str">
        <f>VLOOKUP(C201,'Lookup Tables'!$E$4:$K$11,7,0)</f>
        <v>North</v>
      </c>
    </row>
    <row r="202" spans="1:7" ht="15.75" customHeight="1" x14ac:dyDescent="0.3">
      <c r="A202" s="33">
        <v>1248</v>
      </c>
      <c r="B202" s="33">
        <v>4</v>
      </c>
      <c r="C202" s="33" t="s">
        <v>49</v>
      </c>
      <c r="D202" s="33" t="s">
        <v>66</v>
      </c>
      <c r="E202" s="34">
        <v>2592</v>
      </c>
      <c r="F202" t="str">
        <f>VLOOKUP(Relationships!D202,'Lookup Tables'!$A$4:$B$20,2,0)</f>
        <v>Canned Meat</v>
      </c>
      <c r="G202" t="str">
        <f>VLOOKUP(C202,'Lookup Tables'!$E$4:$K$11,7,0)</f>
        <v>East</v>
      </c>
    </row>
    <row r="203" spans="1:7" ht="15.75" customHeight="1" x14ac:dyDescent="0.3">
      <c r="A203" s="33">
        <v>1250</v>
      </c>
      <c r="B203" s="33">
        <v>10</v>
      </c>
      <c r="C203" s="33" t="s">
        <v>62</v>
      </c>
      <c r="D203" s="33" t="s">
        <v>55</v>
      </c>
      <c r="E203" s="34">
        <v>763.59999999999991</v>
      </c>
      <c r="F203" t="str">
        <f>VLOOKUP(Relationships!D203,'Lookup Tables'!$A$4:$B$20,2,0)</f>
        <v>Baked Goods &amp; Mixes</v>
      </c>
      <c r="G203" t="str">
        <f>VLOOKUP(C203,'Lookup Tables'!$E$4:$K$11,7,0)</f>
        <v>East</v>
      </c>
    </row>
    <row r="204" spans="1:7" ht="15.75" customHeight="1" x14ac:dyDescent="0.3">
      <c r="A204" s="33">
        <v>1251</v>
      </c>
      <c r="B204" s="33">
        <v>11</v>
      </c>
      <c r="C204" s="33" t="s">
        <v>61</v>
      </c>
      <c r="D204" s="33" t="s">
        <v>48</v>
      </c>
      <c r="E204" s="34">
        <v>318.5</v>
      </c>
      <c r="F204" t="str">
        <f>VLOOKUP(Relationships!D204,'Lookup Tables'!$A$4:$B$20,2,0)</f>
        <v>Dried Fruit &amp; Nuts</v>
      </c>
      <c r="G204" t="str">
        <f>VLOOKUP(C204,'Lookup Tables'!$E$4:$K$11,7,0)</f>
        <v>South</v>
      </c>
    </row>
    <row r="205" spans="1:7" ht="15.75" customHeight="1" x14ac:dyDescent="0.3">
      <c r="A205" s="33">
        <v>1252</v>
      </c>
      <c r="B205" s="33">
        <v>11</v>
      </c>
      <c r="C205" s="33" t="s">
        <v>61</v>
      </c>
      <c r="D205" s="33" t="s">
        <v>63</v>
      </c>
      <c r="E205" s="34">
        <v>191.36</v>
      </c>
      <c r="F205" t="str">
        <f>VLOOKUP(Relationships!D205,'Lookup Tables'!$A$4:$B$20,2,0)</f>
        <v>Beverages</v>
      </c>
      <c r="G205" t="str">
        <f>VLOOKUP(C205,'Lookup Tables'!$E$4:$K$11,7,0)</f>
        <v>South</v>
      </c>
    </row>
    <row r="206" spans="1:7" ht="15.75" customHeight="1" x14ac:dyDescent="0.3">
      <c r="A206" s="33">
        <v>1253</v>
      </c>
      <c r="B206" s="33">
        <v>1</v>
      </c>
      <c r="C206" s="33" t="s">
        <v>54</v>
      </c>
      <c r="D206" s="33" t="s">
        <v>52</v>
      </c>
      <c r="E206" s="34">
        <v>1044</v>
      </c>
      <c r="F206" t="str">
        <f>VLOOKUP(Relationships!D206,'Lookup Tables'!$A$4:$B$20,2,0)</f>
        <v>Beverages</v>
      </c>
      <c r="G206" t="str">
        <f>VLOOKUP(C206,'Lookup Tables'!$E$4:$K$11,7,0)</f>
        <v>North</v>
      </c>
    </row>
    <row r="207" spans="1:7" ht="15.75" customHeight="1" x14ac:dyDescent="0.3">
      <c r="A207" s="33">
        <v>1254</v>
      </c>
      <c r="B207" s="33">
        <v>1</v>
      </c>
      <c r="C207" s="33" t="s">
        <v>54</v>
      </c>
      <c r="D207" s="33" t="s">
        <v>53</v>
      </c>
      <c r="E207" s="34">
        <v>4462</v>
      </c>
      <c r="F207" t="str">
        <f>VLOOKUP(Relationships!D207,'Lookup Tables'!$A$4:$B$20,2,0)</f>
        <v>Beverages</v>
      </c>
      <c r="G207" t="str">
        <f>VLOOKUP(C207,'Lookup Tables'!$E$4:$K$11,7,0)</f>
        <v>North</v>
      </c>
    </row>
    <row r="208" spans="1:7" ht="15.75" customHeight="1" x14ac:dyDescent="0.3">
      <c r="A208" s="33">
        <v>1255</v>
      </c>
      <c r="B208" s="33">
        <v>1</v>
      </c>
      <c r="C208" s="33" t="s">
        <v>54</v>
      </c>
      <c r="D208" s="33" t="s">
        <v>63</v>
      </c>
      <c r="E208" s="34">
        <v>41.86</v>
      </c>
      <c r="F208" t="str">
        <f>VLOOKUP(Relationships!D208,'Lookup Tables'!$A$4:$B$20,2,0)</f>
        <v>Beverages</v>
      </c>
      <c r="G208" t="str">
        <f>VLOOKUP(C208,'Lookup Tables'!$E$4:$K$11,7,0)</f>
        <v>North</v>
      </c>
    </row>
    <row r="209" spans="1:7" ht="15.75" customHeight="1" x14ac:dyDescent="0.3">
      <c r="A209" s="33">
        <v>1256</v>
      </c>
      <c r="B209" s="33">
        <v>28</v>
      </c>
      <c r="C209" s="33" t="s">
        <v>61</v>
      </c>
      <c r="D209" s="33" t="s">
        <v>58</v>
      </c>
      <c r="E209" s="34">
        <v>656.2</v>
      </c>
      <c r="F209" t="str">
        <f>VLOOKUP(Relationships!D209,'Lookup Tables'!$A$4:$B$20,2,0)</f>
        <v>Soups</v>
      </c>
      <c r="G209" t="str">
        <f>VLOOKUP(C209,'Lookup Tables'!$E$4:$K$11,7,0)</f>
        <v>South</v>
      </c>
    </row>
    <row r="210" spans="1:7" ht="15.75" customHeight="1" x14ac:dyDescent="0.3">
      <c r="A210" s="33">
        <v>1257</v>
      </c>
      <c r="B210" s="33">
        <v>28</v>
      </c>
      <c r="C210" s="33" t="s">
        <v>61</v>
      </c>
      <c r="D210" s="33" t="s">
        <v>66</v>
      </c>
      <c r="E210" s="34">
        <v>588.79999999999995</v>
      </c>
      <c r="F210" t="str">
        <f>VLOOKUP(Relationships!D210,'Lookup Tables'!$A$4:$B$20,2,0)</f>
        <v>Canned Meat</v>
      </c>
      <c r="G210" t="str">
        <f>VLOOKUP(C210,'Lookup Tables'!$E$4:$K$11,7,0)</f>
        <v>South</v>
      </c>
    </row>
    <row r="211" spans="1:7" ht="15.75" customHeight="1" x14ac:dyDescent="0.3">
      <c r="A211" s="33">
        <v>1259</v>
      </c>
      <c r="B211" s="33">
        <v>9</v>
      </c>
      <c r="C211" s="33" t="s">
        <v>67</v>
      </c>
      <c r="D211" s="33" t="s">
        <v>68</v>
      </c>
      <c r="E211" s="34">
        <v>1983.6</v>
      </c>
      <c r="F211" t="str">
        <f>VLOOKUP(Relationships!D211,'Lookup Tables'!$A$4:$B$20,2,0)</f>
        <v>Dairy Products</v>
      </c>
      <c r="G211" t="str">
        <f>VLOOKUP(C211,'Lookup Tables'!$E$4:$K$11,7,0)</f>
        <v>West</v>
      </c>
    </row>
    <row r="212" spans="1:7" ht="15.75" customHeight="1" x14ac:dyDescent="0.3">
      <c r="A212" s="33">
        <v>1260</v>
      </c>
      <c r="B212" s="33">
        <v>6</v>
      </c>
      <c r="C212" s="33" t="s">
        <v>59</v>
      </c>
      <c r="D212" s="33" t="s">
        <v>47</v>
      </c>
      <c r="E212" s="34">
        <v>938</v>
      </c>
      <c r="F212" t="str">
        <f>VLOOKUP(Relationships!D212,'Lookup Tables'!$A$4:$B$20,2,0)</f>
        <v>Beverages</v>
      </c>
      <c r="G212" t="str">
        <f>VLOOKUP(C212,'Lookup Tables'!$E$4:$K$11,7,0)</f>
        <v>North</v>
      </c>
    </row>
    <row r="213" spans="1:7" ht="15.75" customHeight="1" x14ac:dyDescent="0.3">
      <c r="A213" s="33">
        <v>1261</v>
      </c>
      <c r="B213" s="33">
        <v>8</v>
      </c>
      <c r="C213" s="33" t="s">
        <v>54</v>
      </c>
      <c r="D213" s="33" t="s">
        <v>60</v>
      </c>
      <c r="E213" s="34">
        <v>1920</v>
      </c>
      <c r="F213" t="str">
        <f>VLOOKUP(Relationships!D213,'Lookup Tables'!$A$4:$B$20,2,0)</f>
        <v>Sauces</v>
      </c>
      <c r="G213" t="str">
        <f>VLOOKUP(C213,'Lookup Tables'!$E$4:$K$11,7,0)</f>
        <v>North</v>
      </c>
    </row>
    <row r="214" spans="1:7" ht="15.75" customHeight="1" x14ac:dyDescent="0.3">
      <c r="A214" s="33">
        <v>1262</v>
      </c>
      <c r="B214" s="33">
        <v>8</v>
      </c>
      <c r="C214" s="33" t="s">
        <v>54</v>
      </c>
      <c r="D214" s="33" t="s">
        <v>55</v>
      </c>
      <c r="E214" s="34">
        <v>708.4</v>
      </c>
      <c r="F214" t="str">
        <f>VLOOKUP(Relationships!D214,'Lookup Tables'!$A$4:$B$20,2,0)</f>
        <v>Baked Goods &amp; Mixes</v>
      </c>
      <c r="G214" t="str">
        <f>VLOOKUP(C214,'Lookup Tables'!$E$4:$K$11,7,0)</f>
        <v>North</v>
      </c>
    </row>
    <row r="215" spans="1:7" ht="15.75" customHeight="1" x14ac:dyDescent="0.3">
      <c r="A215" s="33">
        <v>1263</v>
      </c>
      <c r="B215" s="33">
        <v>25</v>
      </c>
      <c r="C215" s="33" t="s">
        <v>62</v>
      </c>
      <c r="D215" s="33" t="s">
        <v>57</v>
      </c>
      <c r="E215" s="34">
        <v>940</v>
      </c>
      <c r="F215" t="str">
        <f>VLOOKUP(Relationships!D215,'Lookup Tables'!$A$4:$B$20,2,0)</f>
        <v>Candy</v>
      </c>
      <c r="G215" t="str">
        <f>VLOOKUP(C215,'Lookup Tables'!$E$4:$K$11,7,0)</f>
        <v>East</v>
      </c>
    </row>
    <row r="216" spans="1:7" ht="15.75" customHeight="1" x14ac:dyDescent="0.3">
      <c r="A216" s="33">
        <v>1265</v>
      </c>
      <c r="B216" s="33">
        <v>26</v>
      </c>
      <c r="C216" s="33" t="s">
        <v>61</v>
      </c>
      <c r="D216" s="33" t="s">
        <v>58</v>
      </c>
      <c r="E216" s="34">
        <v>414.95</v>
      </c>
      <c r="F216" t="str">
        <f>VLOOKUP(Relationships!D216,'Lookup Tables'!$A$4:$B$20,2,0)</f>
        <v>Soups</v>
      </c>
      <c r="G216" t="str">
        <f>VLOOKUP(C216,'Lookup Tables'!$E$4:$K$11,7,0)</f>
        <v>South</v>
      </c>
    </row>
    <row r="217" spans="1:7" ht="15.75" customHeight="1" x14ac:dyDescent="0.3">
      <c r="A217" s="33">
        <v>1266</v>
      </c>
      <c r="B217" s="33">
        <v>26</v>
      </c>
      <c r="C217" s="33" t="s">
        <v>61</v>
      </c>
      <c r="D217" s="33" t="s">
        <v>66</v>
      </c>
      <c r="E217" s="34">
        <v>1306.3999999999999</v>
      </c>
      <c r="F217" t="str">
        <f>VLOOKUP(Relationships!D217,'Lookup Tables'!$A$4:$B$20,2,0)</f>
        <v>Canned Meat</v>
      </c>
      <c r="G217" t="str">
        <f>VLOOKUP(C217,'Lookup Tables'!$E$4:$K$11,7,0)</f>
        <v>South</v>
      </c>
    </row>
    <row r="218" spans="1:7" ht="15.75" customHeight="1" x14ac:dyDescent="0.3">
      <c r="A218" s="33">
        <v>1267</v>
      </c>
      <c r="B218" s="33">
        <v>29</v>
      </c>
      <c r="C218" s="33" t="s">
        <v>56</v>
      </c>
      <c r="D218" s="33" t="s">
        <v>68</v>
      </c>
      <c r="E218" s="34">
        <v>700</v>
      </c>
      <c r="F218" t="str">
        <f>VLOOKUP(Relationships!D218,'Lookup Tables'!$A$4:$B$20,2,0)</f>
        <v>Dairy Products</v>
      </c>
      <c r="G218" t="str">
        <f>VLOOKUP(C218,'Lookup Tables'!$E$4:$K$11,7,0)</f>
        <v>West</v>
      </c>
    </row>
    <row r="219" spans="1:7" ht="15.75" customHeight="1" x14ac:dyDescent="0.3">
      <c r="A219" s="33">
        <v>1268</v>
      </c>
      <c r="B219" s="33">
        <v>6</v>
      </c>
      <c r="C219" s="33" t="s">
        <v>59</v>
      </c>
      <c r="D219" s="33" t="s">
        <v>57</v>
      </c>
      <c r="E219" s="34">
        <v>1224</v>
      </c>
      <c r="F219" t="str">
        <f>VLOOKUP(Relationships!D219,'Lookup Tables'!$A$4:$B$20,2,0)</f>
        <v>Candy</v>
      </c>
      <c r="G219" t="str">
        <f>VLOOKUP(C219,'Lookup Tables'!$E$4:$K$11,7,0)</f>
        <v>North</v>
      </c>
    </row>
    <row r="220" spans="1:7" ht="15.75" customHeight="1" x14ac:dyDescent="0.3">
      <c r="A220" s="33">
        <v>1270</v>
      </c>
      <c r="B220" s="33">
        <v>4</v>
      </c>
      <c r="C220" s="33" t="s">
        <v>49</v>
      </c>
      <c r="D220" s="33" t="s">
        <v>48</v>
      </c>
      <c r="E220" s="34">
        <v>4374</v>
      </c>
      <c r="F220" t="str">
        <f>VLOOKUP(Relationships!D220,'Lookup Tables'!$A$4:$B$20,2,0)</f>
        <v>Dried Fruit &amp; Nuts</v>
      </c>
      <c r="G220" t="str">
        <f>VLOOKUP(C220,'Lookup Tables'!$E$4:$K$11,7,0)</f>
        <v>East</v>
      </c>
    </row>
    <row r="221" spans="1:7" ht="15.75" customHeight="1" x14ac:dyDescent="0.3">
      <c r="A221" s="33">
        <v>1273</v>
      </c>
      <c r="B221" s="33">
        <v>8</v>
      </c>
      <c r="C221" s="33" t="s">
        <v>54</v>
      </c>
      <c r="D221" s="33" t="s">
        <v>68</v>
      </c>
      <c r="E221" s="34">
        <v>2192.3999999999996</v>
      </c>
      <c r="F221" t="str">
        <f>VLOOKUP(Relationships!D221,'Lookup Tables'!$A$4:$B$20,2,0)</f>
        <v>Dairy Products</v>
      </c>
      <c r="G221" t="str">
        <f>VLOOKUP(C221,'Lookup Tables'!$E$4:$K$11,7,0)</f>
        <v>North</v>
      </c>
    </row>
    <row r="222" spans="1:7" ht="15.75" customHeight="1" x14ac:dyDescent="0.3">
      <c r="A222" s="33">
        <v>1276</v>
      </c>
      <c r="B222" s="33">
        <v>3</v>
      </c>
      <c r="C222" s="33" t="s">
        <v>46</v>
      </c>
      <c r="D222" s="33" t="s">
        <v>69</v>
      </c>
      <c r="E222" s="34">
        <v>710</v>
      </c>
      <c r="F222" t="str">
        <f>VLOOKUP(Relationships!D222,'Lookup Tables'!$A$4:$B$20,2,0)</f>
        <v>Condiments</v>
      </c>
      <c r="G222" t="str">
        <f>VLOOKUP(C222,'Lookup Tables'!$E$4:$K$11,7,0)</f>
        <v>West</v>
      </c>
    </row>
    <row r="223" spans="1:7" ht="15.75" customHeight="1" x14ac:dyDescent="0.3">
      <c r="A223" s="33">
        <v>1277</v>
      </c>
      <c r="B223" s="33">
        <v>3</v>
      </c>
      <c r="C223" s="33" t="s">
        <v>46</v>
      </c>
      <c r="D223" s="33" t="s">
        <v>60</v>
      </c>
      <c r="E223" s="34">
        <v>3520</v>
      </c>
      <c r="F223" t="str">
        <f>VLOOKUP(Relationships!D223,'Lookup Tables'!$A$4:$B$20,2,0)</f>
        <v>Sauces</v>
      </c>
      <c r="G223" t="str">
        <f>VLOOKUP(C223,'Lookup Tables'!$E$4:$K$11,7,0)</f>
        <v>West</v>
      </c>
    </row>
    <row r="224" spans="1:7" ht="15.75" customHeight="1" x14ac:dyDescent="0.3">
      <c r="A224" s="33">
        <v>1281</v>
      </c>
      <c r="B224" s="33">
        <v>10</v>
      </c>
      <c r="C224" s="33" t="s">
        <v>62</v>
      </c>
      <c r="D224" s="33" t="s">
        <v>52</v>
      </c>
      <c r="E224" s="34">
        <v>590</v>
      </c>
      <c r="F224" t="str">
        <f>VLOOKUP(Relationships!D224,'Lookup Tables'!$A$4:$B$20,2,0)</f>
        <v>Beverages</v>
      </c>
      <c r="G224" t="str">
        <f>VLOOKUP(C224,'Lookup Tables'!$E$4:$K$11,7,0)</f>
        <v>East</v>
      </c>
    </row>
    <row r="225" spans="1:7" ht="15.75" customHeight="1" x14ac:dyDescent="0.3">
      <c r="A225" s="33">
        <v>1282</v>
      </c>
      <c r="B225" s="33">
        <v>6</v>
      </c>
      <c r="C225" s="33" t="s">
        <v>59</v>
      </c>
      <c r="D225" s="33" t="s">
        <v>60</v>
      </c>
      <c r="E225" s="34">
        <v>3760</v>
      </c>
      <c r="F225" t="str">
        <f>VLOOKUP(Relationships!D225,'Lookup Tables'!$A$4:$B$20,2,0)</f>
        <v>Sauces</v>
      </c>
      <c r="G225" t="str">
        <f>VLOOKUP(C225,'Lookup Tables'!$E$4:$K$11,7,0)</f>
        <v>North</v>
      </c>
    </row>
    <row r="226" spans="1:7" ht="15.75" customHeight="1" x14ac:dyDescent="0.3">
      <c r="A226" s="33">
        <v>1283</v>
      </c>
      <c r="B226" s="33">
        <v>28</v>
      </c>
      <c r="C226" s="33" t="s">
        <v>61</v>
      </c>
      <c r="D226" s="33" t="s">
        <v>53</v>
      </c>
      <c r="E226" s="34">
        <v>3956</v>
      </c>
      <c r="F226" t="str">
        <f>VLOOKUP(Relationships!D226,'Lookup Tables'!$A$4:$B$20,2,0)</f>
        <v>Beverages</v>
      </c>
      <c r="G226" t="str">
        <f>VLOOKUP(C226,'Lookup Tables'!$E$4:$K$11,7,0)</f>
        <v>South</v>
      </c>
    </row>
    <row r="227" spans="1:7" ht="15.75" customHeight="1" x14ac:dyDescent="0.3">
      <c r="A227" s="33">
        <v>1284</v>
      </c>
      <c r="B227" s="33">
        <v>8</v>
      </c>
      <c r="C227" s="33" t="s">
        <v>54</v>
      </c>
      <c r="D227" s="33" t="s">
        <v>57</v>
      </c>
      <c r="E227" s="34">
        <v>777.75</v>
      </c>
      <c r="F227" t="str">
        <f>VLOOKUP(Relationships!D227,'Lookup Tables'!$A$4:$B$20,2,0)</f>
        <v>Candy</v>
      </c>
      <c r="G227" t="str">
        <f>VLOOKUP(C227,'Lookup Tables'!$E$4:$K$11,7,0)</f>
        <v>North</v>
      </c>
    </row>
    <row r="228" spans="1:7" ht="15.75" customHeight="1" x14ac:dyDescent="0.3">
      <c r="A228" s="33">
        <v>1285</v>
      </c>
      <c r="B228" s="33">
        <v>10</v>
      </c>
      <c r="C228" s="33" t="s">
        <v>62</v>
      </c>
      <c r="D228" s="33" t="s">
        <v>63</v>
      </c>
      <c r="E228" s="34">
        <v>95.68</v>
      </c>
      <c r="F228" t="str">
        <f>VLOOKUP(Relationships!D228,'Lookup Tables'!$A$4:$B$20,2,0)</f>
        <v>Beverages</v>
      </c>
      <c r="G228" t="str">
        <f>VLOOKUP(C228,'Lookup Tables'!$E$4:$K$11,7,0)</f>
        <v>East</v>
      </c>
    </row>
    <row r="229" spans="1:7" ht="15.75" customHeight="1" x14ac:dyDescent="0.3">
      <c r="A229" s="33">
        <v>1286</v>
      </c>
      <c r="B229" s="33">
        <v>7</v>
      </c>
      <c r="C229" s="33" t="s">
        <v>54</v>
      </c>
      <c r="D229" s="33" t="s">
        <v>53</v>
      </c>
      <c r="E229" s="34">
        <v>2852</v>
      </c>
      <c r="F229" t="str">
        <f>VLOOKUP(Relationships!D229,'Lookup Tables'!$A$4:$B$20,2,0)</f>
        <v>Beverages</v>
      </c>
      <c r="G229" t="str">
        <f>VLOOKUP(C229,'Lookup Tables'!$E$4:$K$11,7,0)</f>
        <v>North</v>
      </c>
    </row>
    <row r="230" spans="1:7" ht="15.75" customHeight="1" x14ac:dyDescent="0.3">
      <c r="A230" s="33">
        <v>1287</v>
      </c>
      <c r="B230" s="33">
        <v>10</v>
      </c>
      <c r="C230" s="33" t="s">
        <v>62</v>
      </c>
      <c r="D230" s="33" t="s">
        <v>64</v>
      </c>
      <c r="E230" s="34">
        <v>1500</v>
      </c>
      <c r="F230" t="str">
        <f>VLOOKUP(Relationships!D230,'Lookup Tables'!$A$4:$B$20,2,0)</f>
        <v>Jams, Preserves</v>
      </c>
      <c r="G230" t="str">
        <f>VLOOKUP(C230,'Lookup Tables'!$E$4:$K$11,7,0)</f>
        <v>East</v>
      </c>
    </row>
    <row r="231" spans="1:7" ht="15.75" customHeight="1" x14ac:dyDescent="0.3">
      <c r="A231" s="33">
        <v>1288</v>
      </c>
      <c r="B231" s="33">
        <v>10</v>
      </c>
      <c r="C231" s="33" t="s">
        <v>62</v>
      </c>
      <c r="D231" s="33" t="s">
        <v>65</v>
      </c>
      <c r="E231" s="34">
        <v>1122</v>
      </c>
      <c r="F231" t="str">
        <f>VLOOKUP(Relationships!D231,'Lookup Tables'!$A$4:$B$20,2,0)</f>
        <v>Condiments</v>
      </c>
      <c r="G231" t="str">
        <f>VLOOKUP(C231,'Lookup Tables'!$E$4:$K$11,7,0)</f>
        <v>East</v>
      </c>
    </row>
    <row r="232" spans="1:7" ht="15.75" customHeight="1" x14ac:dyDescent="0.3">
      <c r="A232" s="33">
        <v>1289</v>
      </c>
      <c r="B232" s="33">
        <v>10</v>
      </c>
      <c r="C232" s="33" t="s">
        <v>62</v>
      </c>
      <c r="D232" s="33" t="s">
        <v>55</v>
      </c>
      <c r="E232" s="34">
        <v>450.79999999999995</v>
      </c>
      <c r="F232" t="str">
        <f>VLOOKUP(Relationships!D232,'Lookup Tables'!$A$4:$B$20,2,0)</f>
        <v>Baked Goods &amp; Mixes</v>
      </c>
      <c r="G232" t="str">
        <f>VLOOKUP(C232,'Lookup Tables'!$E$4:$K$11,7,0)</f>
        <v>East</v>
      </c>
    </row>
    <row r="233" spans="1:7" ht="15.75" customHeight="1" x14ac:dyDescent="0.3">
      <c r="A233" s="33">
        <v>1290</v>
      </c>
      <c r="B233" s="33">
        <v>11</v>
      </c>
      <c r="C233" s="33" t="s">
        <v>61</v>
      </c>
      <c r="D233" s="33" t="s">
        <v>48</v>
      </c>
      <c r="E233" s="34">
        <v>70</v>
      </c>
      <c r="F233" t="str">
        <f>VLOOKUP(Relationships!D233,'Lookup Tables'!$A$4:$B$20,2,0)</f>
        <v>Dried Fruit &amp; Nuts</v>
      </c>
      <c r="G233" t="str">
        <f>VLOOKUP(C233,'Lookup Tables'!$E$4:$K$11,7,0)</f>
        <v>South</v>
      </c>
    </row>
    <row r="234" spans="1:7" ht="15.75" customHeight="1" x14ac:dyDescent="0.3">
      <c r="A234" s="33">
        <v>1291</v>
      </c>
      <c r="B234" s="33">
        <v>11</v>
      </c>
      <c r="C234" s="33" t="s">
        <v>61</v>
      </c>
      <c r="D234" s="33" t="s">
        <v>63</v>
      </c>
      <c r="E234" s="34">
        <v>146.51000000000002</v>
      </c>
      <c r="F234" t="str">
        <f>VLOOKUP(Relationships!D234,'Lookup Tables'!$A$4:$B$20,2,0)</f>
        <v>Beverages</v>
      </c>
      <c r="G234" t="str">
        <f>VLOOKUP(C234,'Lookup Tables'!$E$4:$K$11,7,0)</f>
        <v>South</v>
      </c>
    </row>
    <row r="235" spans="1:7" ht="15.75" customHeight="1" x14ac:dyDescent="0.3">
      <c r="A235" s="33">
        <v>1292</v>
      </c>
      <c r="B235" s="33">
        <v>1</v>
      </c>
      <c r="C235" s="33" t="s">
        <v>54</v>
      </c>
      <c r="D235" s="33" t="s">
        <v>52</v>
      </c>
      <c r="E235" s="34">
        <v>396</v>
      </c>
      <c r="F235" t="str">
        <f>VLOOKUP(Relationships!D235,'Lookup Tables'!$A$4:$B$20,2,0)</f>
        <v>Beverages</v>
      </c>
      <c r="G235" t="str">
        <f>VLOOKUP(C235,'Lookup Tables'!$E$4:$K$11,7,0)</f>
        <v>North</v>
      </c>
    </row>
    <row r="236" spans="1:7" ht="15.75" customHeight="1" x14ac:dyDescent="0.3">
      <c r="A236" s="33">
        <v>1293</v>
      </c>
      <c r="B236" s="33">
        <v>1</v>
      </c>
      <c r="C236" s="33" t="s">
        <v>54</v>
      </c>
      <c r="D236" s="33" t="s">
        <v>53</v>
      </c>
      <c r="E236" s="34">
        <v>3358</v>
      </c>
      <c r="F236" t="str">
        <f>VLOOKUP(Relationships!D236,'Lookup Tables'!$A$4:$B$20,2,0)</f>
        <v>Beverages</v>
      </c>
      <c r="G236" t="str">
        <f>VLOOKUP(C236,'Lookup Tables'!$E$4:$K$11,7,0)</f>
        <v>North</v>
      </c>
    </row>
    <row r="237" spans="1:7" ht="15.75" customHeight="1" x14ac:dyDescent="0.3">
      <c r="A237" s="33">
        <v>1294</v>
      </c>
      <c r="B237" s="33">
        <v>1</v>
      </c>
      <c r="C237" s="33" t="s">
        <v>54</v>
      </c>
      <c r="D237" s="33" t="s">
        <v>63</v>
      </c>
      <c r="E237" s="34">
        <v>254.15</v>
      </c>
      <c r="F237" t="str">
        <f>VLOOKUP(Relationships!D237,'Lookup Tables'!$A$4:$B$20,2,0)</f>
        <v>Beverages</v>
      </c>
      <c r="G237" t="str">
        <f>VLOOKUP(C237,'Lookup Tables'!$E$4:$K$11,7,0)</f>
        <v>North</v>
      </c>
    </row>
    <row r="238" spans="1:7" ht="15.75" customHeight="1" x14ac:dyDescent="0.3">
      <c r="A238" s="33">
        <v>1295</v>
      </c>
      <c r="B238" s="33">
        <v>28</v>
      </c>
      <c r="C238" s="33" t="s">
        <v>61</v>
      </c>
      <c r="D238" s="33" t="s">
        <v>58</v>
      </c>
      <c r="E238" s="34">
        <v>424.6</v>
      </c>
      <c r="F238" t="str">
        <f>VLOOKUP(Relationships!D238,'Lookup Tables'!$A$4:$B$20,2,0)</f>
        <v>Soups</v>
      </c>
      <c r="G238" t="str">
        <f>VLOOKUP(C238,'Lookup Tables'!$E$4:$K$11,7,0)</f>
        <v>South</v>
      </c>
    </row>
    <row r="239" spans="1:7" ht="15.75" customHeight="1" x14ac:dyDescent="0.3">
      <c r="A239" s="33">
        <v>1296</v>
      </c>
      <c r="B239" s="33">
        <v>28</v>
      </c>
      <c r="C239" s="33" t="s">
        <v>61</v>
      </c>
      <c r="D239" s="33" t="s">
        <v>66</v>
      </c>
      <c r="E239" s="34">
        <v>441.59999999999997</v>
      </c>
      <c r="F239" t="str">
        <f>VLOOKUP(Relationships!D239,'Lookup Tables'!$A$4:$B$20,2,0)</f>
        <v>Canned Meat</v>
      </c>
      <c r="G239" t="str">
        <f>VLOOKUP(C239,'Lookup Tables'!$E$4:$K$11,7,0)</f>
        <v>South</v>
      </c>
    </row>
    <row r="240" spans="1:7" ht="15.75" customHeight="1" x14ac:dyDescent="0.3">
      <c r="A240" s="33">
        <v>1298</v>
      </c>
      <c r="B240" s="33">
        <v>9</v>
      </c>
      <c r="C240" s="33" t="s">
        <v>67</v>
      </c>
      <c r="D240" s="33" t="s">
        <v>68</v>
      </c>
      <c r="E240" s="34">
        <v>2436</v>
      </c>
      <c r="F240" t="str">
        <f>VLOOKUP(Relationships!D240,'Lookup Tables'!$A$4:$B$20,2,0)</f>
        <v>Dairy Products</v>
      </c>
      <c r="G240" t="str">
        <f>VLOOKUP(C240,'Lookup Tables'!$E$4:$K$11,7,0)</f>
        <v>West</v>
      </c>
    </row>
    <row r="241" spans="1:7" ht="15.75" customHeight="1" x14ac:dyDescent="0.3">
      <c r="A241" s="33">
        <v>1299</v>
      </c>
      <c r="B241" s="33">
        <v>6</v>
      </c>
      <c r="C241" s="33" t="s">
        <v>59</v>
      </c>
      <c r="D241" s="33" t="s">
        <v>65</v>
      </c>
      <c r="E241" s="34">
        <v>1372</v>
      </c>
      <c r="F241" t="str">
        <f>VLOOKUP(Relationships!D241,'Lookup Tables'!$A$4:$B$20,2,0)</f>
        <v>Condiments</v>
      </c>
      <c r="G241" t="str">
        <f>VLOOKUP(C241,'Lookup Tables'!$E$4:$K$11,7,0)</f>
        <v>North</v>
      </c>
    </row>
    <row r="242" spans="1:7" ht="15.75" customHeight="1" x14ac:dyDescent="0.3">
      <c r="A242" s="33">
        <v>1300</v>
      </c>
      <c r="B242" s="33">
        <v>8</v>
      </c>
      <c r="C242" s="33" t="s">
        <v>54</v>
      </c>
      <c r="D242" s="33" t="s">
        <v>60</v>
      </c>
      <c r="E242" s="34">
        <v>1920</v>
      </c>
      <c r="F242" t="str">
        <f>VLOOKUP(Relationships!D242,'Lookup Tables'!$A$4:$B$20,2,0)</f>
        <v>Sauces</v>
      </c>
      <c r="G242" t="str">
        <f>VLOOKUP(C242,'Lookup Tables'!$E$4:$K$11,7,0)</f>
        <v>North</v>
      </c>
    </row>
    <row r="243" spans="1:7" ht="15.75" customHeight="1" x14ac:dyDescent="0.3">
      <c r="A243" s="33">
        <v>1301</v>
      </c>
      <c r="B243" s="33">
        <v>8</v>
      </c>
      <c r="C243" s="33" t="s">
        <v>54</v>
      </c>
      <c r="D243" s="33" t="s">
        <v>55</v>
      </c>
      <c r="E243" s="34">
        <v>919.99999999999989</v>
      </c>
      <c r="F243" t="str">
        <f>VLOOKUP(Relationships!D243,'Lookup Tables'!$A$4:$B$20,2,0)</f>
        <v>Baked Goods &amp; Mixes</v>
      </c>
      <c r="G243" t="str">
        <f>VLOOKUP(C243,'Lookup Tables'!$E$4:$K$11,7,0)</f>
        <v>North</v>
      </c>
    </row>
    <row r="244" spans="1:7" ht="15.75" customHeight="1" x14ac:dyDescent="0.3">
      <c r="A244" s="33">
        <v>1302</v>
      </c>
      <c r="B244" s="33">
        <v>25</v>
      </c>
      <c r="C244" s="33" t="s">
        <v>62</v>
      </c>
      <c r="D244" s="33" t="s">
        <v>52</v>
      </c>
      <c r="E244" s="34">
        <v>900</v>
      </c>
      <c r="F244" t="str">
        <f>VLOOKUP(Relationships!D244,'Lookup Tables'!$A$4:$B$20,2,0)</f>
        <v>Beverages</v>
      </c>
      <c r="G244" t="str">
        <f>VLOOKUP(C244,'Lookup Tables'!$E$4:$K$11,7,0)</f>
        <v>East</v>
      </c>
    </row>
    <row r="245" spans="1:7" ht="15.75" customHeight="1" x14ac:dyDescent="0.3">
      <c r="A245" s="33">
        <v>1304</v>
      </c>
      <c r="B245" s="33">
        <v>26</v>
      </c>
      <c r="C245" s="33" t="s">
        <v>61</v>
      </c>
      <c r="D245" s="33" t="s">
        <v>58</v>
      </c>
      <c r="E245" s="34">
        <v>685.15</v>
      </c>
      <c r="F245" t="str">
        <f>VLOOKUP(Relationships!D245,'Lookup Tables'!$A$4:$B$20,2,0)</f>
        <v>Soups</v>
      </c>
      <c r="G245" t="str">
        <f>VLOOKUP(C245,'Lookup Tables'!$E$4:$K$11,7,0)</f>
        <v>South</v>
      </c>
    </row>
    <row r="246" spans="1:7" ht="15.75" customHeight="1" x14ac:dyDescent="0.3">
      <c r="A246" s="33">
        <v>1305</v>
      </c>
      <c r="B246" s="33">
        <v>26</v>
      </c>
      <c r="C246" s="33" t="s">
        <v>61</v>
      </c>
      <c r="D246" s="33" t="s">
        <v>66</v>
      </c>
      <c r="E246" s="34">
        <v>184</v>
      </c>
      <c r="F246" t="str">
        <f>VLOOKUP(Relationships!D246,'Lookup Tables'!$A$4:$B$20,2,0)</f>
        <v>Canned Meat</v>
      </c>
      <c r="G246" t="str">
        <f>VLOOKUP(C246,'Lookup Tables'!$E$4:$K$11,7,0)</f>
        <v>South</v>
      </c>
    </row>
    <row r="247" spans="1:7" ht="15.75" customHeight="1" x14ac:dyDescent="0.3">
      <c r="A247" s="33">
        <v>1306</v>
      </c>
      <c r="B247" s="33">
        <v>29</v>
      </c>
      <c r="C247" s="33" t="s">
        <v>56</v>
      </c>
      <c r="D247" s="33" t="s">
        <v>51</v>
      </c>
      <c r="E247" s="34">
        <v>1092</v>
      </c>
      <c r="F247" t="str">
        <f>VLOOKUP(Relationships!D247,'Lookup Tables'!$A$4:$B$20,2,0)</f>
        <v>Dried Fruit &amp; Nuts</v>
      </c>
      <c r="G247" t="str">
        <f>VLOOKUP(C247,'Lookup Tables'!$E$4:$K$11,7,0)</f>
        <v>West</v>
      </c>
    </row>
    <row r="248" spans="1:7" ht="15.75" customHeight="1" x14ac:dyDescent="0.3">
      <c r="A248" s="33">
        <v>1307</v>
      </c>
      <c r="B248" s="33">
        <v>6</v>
      </c>
      <c r="C248" s="33" t="s">
        <v>59</v>
      </c>
      <c r="D248" s="33" t="s">
        <v>57</v>
      </c>
      <c r="E248" s="34">
        <v>561</v>
      </c>
      <c r="F248" t="str">
        <f>VLOOKUP(Relationships!D248,'Lookup Tables'!$A$4:$B$20,2,0)</f>
        <v>Candy</v>
      </c>
      <c r="G248" t="str">
        <f>VLOOKUP(C248,'Lookup Tables'!$E$4:$K$11,7,0)</f>
        <v>North</v>
      </c>
    </row>
    <row r="249" spans="1:7" ht="15.75" customHeight="1" x14ac:dyDescent="0.3">
      <c r="A249" s="33">
        <v>1309</v>
      </c>
      <c r="B249" s="33">
        <v>4</v>
      </c>
      <c r="C249" s="33" t="s">
        <v>49</v>
      </c>
      <c r="D249" s="33" t="s">
        <v>65</v>
      </c>
      <c r="E249" s="34">
        <v>6642</v>
      </c>
      <c r="F249" t="str">
        <f>VLOOKUP(Relationships!D249,'Lookup Tables'!$A$4:$B$20,2,0)</f>
        <v>Condiments</v>
      </c>
      <c r="G249" t="str">
        <f>VLOOKUP(C249,'Lookup Tables'!$E$4:$K$11,7,0)</f>
        <v>East</v>
      </c>
    </row>
    <row r="250" spans="1:7" ht="15.75" customHeight="1" x14ac:dyDescent="0.3">
      <c r="A250" s="33">
        <v>1312</v>
      </c>
      <c r="B250" s="33">
        <v>8</v>
      </c>
      <c r="C250" s="33" t="s">
        <v>54</v>
      </c>
      <c r="D250" s="33" t="s">
        <v>68</v>
      </c>
      <c r="E250" s="34">
        <v>3236.3999999999996</v>
      </c>
      <c r="F250" t="str">
        <f>VLOOKUP(Relationships!D250,'Lookup Tables'!$A$4:$B$20,2,0)</f>
        <v>Dairy Products</v>
      </c>
      <c r="G250" t="str">
        <f>VLOOKUP(C250,'Lookup Tables'!$E$4:$K$11,7,0)</f>
        <v>North</v>
      </c>
    </row>
    <row r="251" spans="1:7" ht="15.75" customHeight="1" x14ac:dyDescent="0.3">
      <c r="A251" s="33">
        <v>1315</v>
      </c>
      <c r="B251" s="33">
        <v>3</v>
      </c>
      <c r="C251" s="33" t="s">
        <v>46</v>
      </c>
      <c r="D251" s="33" t="s">
        <v>69</v>
      </c>
      <c r="E251" s="34">
        <v>110</v>
      </c>
      <c r="F251" t="str">
        <f>VLOOKUP(Relationships!D251,'Lookup Tables'!$A$4:$B$20,2,0)</f>
        <v>Condiments</v>
      </c>
      <c r="G251" t="str">
        <f>VLOOKUP(C251,'Lookup Tables'!$E$4:$K$11,7,0)</f>
        <v>West</v>
      </c>
    </row>
    <row r="252" spans="1:7" ht="15.75" customHeight="1" x14ac:dyDescent="0.3">
      <c r="A252" s="33">
        <v>1316</v>
      </c>
      <c r="B252" s="33">
        <v>3</v>
      </c>
      <c r="C252" s="33" t="s">
        <v>46</v>
      </c>
      <c r="D252" s="33" t="s">
        <v>60</v>
      </c>
      <c r="E252" s="34">
        <v>3640</v>
      </c>
      <c r="F252" t="str">
        <f>VLOOKUP(Relationships!D252,'Lookup Tables'!$A$4:$B$20,2,0)</f>
        <v>Sauces</v>
      </c>
      <c r="G252" t="str">
        <f>VLOOKUP(C252,'Lookup Tables'!$E$4:$K$11,7,0)</f>
        <v>West</v>
      </c>
    </row>
    <row r="253" spans="1:7" ht="15.75" customHeight="1" x14ac:dyDescent="0.3">
      <c r="A253" s="33">
        <v>1320</v>
      </c>
      <c r="B253" s="33">
        <v>10</v>
      </c>
      <c r="C253" s="33" t="s">
        <v>62</v>
      </c>
      <c r="D253" s="33" t="s">
        <v>66</v>
      </c>
      <c r="E253" s="34">
        <v>120</v>
      </c>
      <c r="F253" t="str">
        <f>VLOOKUP(Relationships!D253,'Lookup Tables'!$A$4:$B$20,2,0)</f>
        <v>Canned Meat</v>
      </c>
      <c r="G253" t="str">
        <f>VLOOKUP(C253,'Lookup Tables'!$E$4:$K$11,7,0)</f>
        <v>East</v>
      </c>
    </row>
    <row r="254" spans="1:7" ht="15.75" customHeight="1" x14ac:dyDescent="0.3">
      <c r="A254" s="33">
        <v>1322</v>
      </c>
      <c r="B254" s="33">
        <v>10</v>
      </c>
      <c r="C254" s="33" t="s">
        <v>62</v>
      </c>
      <c r="D254" s="33" t="s">
        <v>48</v>
      </c>
      <c r="E254" s="34">
        <v>273</v>
      </c>
      <c r="F254" t="str">
        <f>VLOOKUP(Relationships!D254,'Lookup Tables'!$A$4:$B$20,2,0)</f>
        <v>Dried Fruit &amp; Nuts</v>
      </c>
      <c r="G254" t="str">
        <f>VLOOKUP(C254,'Lookup Tables'!$E$4:$K$11,7,0)</f>
        <v>East</v>
      </c>
    </row>
    <row r="255" spans="1:7" ht="15.75" customHeight="1" x14ac:dyDescent="0.3">
      <c r="A255" s="33">
        <v>1323</v>
      </c>
      <c r="B255" s="33">
        <v>11</v>
      </c>
      <c r="C255" s="33" t="s">
        <v>61</v>
      </c>
      <c r="D255" s="33" t="s">
        <v>60</v>
      </c>
      <c r="E255" s="34">
        <v>2400</v>
      </c>
      <c r="F255" t="str">
        <f>VLOOKUP(Relationships!D255,'Lookup Tables'!$A$4:$B$20,2,0)</f>
        <v>Sauces</v>
      </c>
      <c r="G255" t="str">
        <f>VLOOKUP(C255,'Lookup Tables'!$E$4:$K$11,7,0)</f>
        <v>South</v>
      </c>
    </row>
    <row r="256" spans="1:7" ht="15.75" customHeight="1" x14ac:dyDescent="0.3">
      <c r="A256" s="33">
        <v>1324</v>
      </c>
      <c r="B256" s="33">
        <v>1</v>
      </c>
      <c r="C256" s="33" t="s">
        <v>54</v>
      </c>
      <c r="D256" s="33" t="s">
        <v>66</v>
      </c>
      <c r="E256" s="34">
        <v>423.2</v>
      </c>
      <c r="F256" t="str">
        <f>VLOOKUP(Relationships!D256,'Lookup Tables'!$A$4:$B$20,2,0)</f>
        <v>Canned Meat</v>
      </c>
      <c r="G256" t="str">
        <f>VLOOKUP(C256,'Lookup Tables'!$E$4:$K$11,7,0)</f>
        <v>North</v>
      </c>
    </row>
    <row r="257" spans="1:7" ht="15.75" customHeight="1" x14ac:dyDescent="0.3">
      <c r="A257" s="33">
        <v>1325</v>
      </c>
      <c r="B257" s="33">
        <v>28</v>
      </c>
      <c r="C257" s="33" t="s">
        <v>61</v>
      </c>
      <c r="D257" s="33" t="s">
        <v>53</v>
      </c>
      <c r="E257" s="34">
        <v>1564</v>
      </c>
      <c r="F257" t="str">
        <f>VLOOKUP(Relationships!D257,'Lookup Tables'!$A$4:$B$20,2,0)</f>
        <v>Beverages</v>
      </c>
      <c r="G257" t="str">
        <f>VLOOKUP(C257,'Lookup Tables'!$E$4:$K$11,7,0)</f>
        <v>South</v>
      </c>
    </row>
    <row r="258" spans="1:7" ht="15.75" customHeight="1" x14ac:dyDescent="0.3">
      <c r="A258" s="33">
        <v>1326</v>
      </c>
      <c r="B258" s="33">
        <v>9</v>
      </c>
      <c r="C258" s="33" t="s">
        <v>67</v>
      </c>
      <c r="D258" s="33" t="s">
        <v>58</v>
      </c>
      <c r="E258" s="34">
        <v>858.85</v>
      </c>
      <c r="F258" t="str">
        <f>VLOOKUP(Relationships!D258,'Lookup Tables'!$A$4:$B$20,2,0)</f>
        <v>Soups</v>
      </c>
      <c r="G258" t="str">
        <f>VLOOKUP(C258,'Lookup Tables'!$E$4:$K$11,7,0)</f>
        <v>West</v>
      </c>
    </row>
    <row r="259" spans="1:7" ht="15.75" customHeight="1" x14ac:dyDescent="0.3">
      <c r="A259" s="33">
        <v>1327</v>
      </c>
      <c r="B259" s="33">
        <v>6</v>
      </c>
      <c r="C259" s="33" t="s">
        <v>59</v>
      </c>
      <c r="D259" s="33" t="s">
        <v>57</v>
      </c>
      <c r="E259" s="34">
        <v>1045.5</v>
      </c>
      <c r="F259" t="str">
        <f>VLOOKUP(Relationships!D259,'Lookup Tables'!$A$4:$B$20,2,0)</f>
        <v>Candy</v>
      </c>
      <c r="G259" t="str">
        <f>VLOOKUP(C259,'Lookup Tables'!$E$4:$K$11,7,0)</f>
        <v>North</v>
      </c>
    </row>
    <row r="260" spans="1:7" ht="15.75" customHeight="1" x14ac:dyDescent="0.3">
      <c r="A260" s="33">
        <v>1328</v>
      </c>
      <c r="B260" s="33">
        <v>8</v>
      </c>
      <c r="C260" s="33" t="s">
        <v>54</v>
      </c>
      <c r="D260" s="33" t="s">
        <v>57</v>
      </c>
      <c r="E260" s="34">
        <v>548.25</v>
      </c>
      <c r="F260" t="str">
        <f>VLOOKUP(Relationships!D260,'Lookup Tables'!$A$4:$B$20,2,0)</f>
        <v>Candy</v>
      </c>
      <c r="G260" t="str">
        <f>VLOOKUP(C260,'Lookup Tables'!$E$4:$K$11,7,0)</f>
        <v>North</v>
      </c>
    </row>
    <row r="261" spans="1:7" ht="15.75" customHeight="1" x14ac:dyDescent="0.3">
      <c r="A261" s="33">
        <v>1329</v>
      </c>
      <c r="B261" s="33">
        <v>10</v>
      </c>
      <c r="C261" s="33" t="s">
        <v>62</v>
      </c>
      <c r="D261" s="33" t="s">
        <v>65</v>
      </c>
      <c r="E261" s="34">
        <v>2112</v>
      </c>
      <c r="F261" t="str">
        <f>VLOOKUP(Relationships!D261,'Lookup Tables'!$A$4:$B$20,2,0)</f>
        <v>Condiments</v>
      </c>
      <c r="G261" t="str">
        <f>VLOOKUP(C261,'Lookup Tables'!$E$4:$K$11,7,0)</f>
        <v>East</v>
      </c>
    </row>
    <row r="262" spans="1:7" ht="15.75" customHeight="1" x14ac:dyDescent="0.3">
      <c r="A262" s="33">
        <v>1330</v>
      </c>
      <c r="B262" s="33">
        <v>10</v>
      </c>
      <c r="C262" s="33" t="s">
        <v>62</v>
      </c>
      <c r="D262" s="33" t="s">
        <v>55</v>
      </c>
      <c r="E262" s="34">
        <v>312.79999999999995</v>
      </c>
      <c r="F262" t="str">
        <f>VLOOKUP(Relationships!D262,'Lookup Tables'!$A$4:$B$20,2,0)</f>
        <v>Baked Goods &amp; Mixes</v>
      </c>
      <c r="G262" t="str">
        <f>VLOOKUP(C262,'Lookup Tables'!$E$4:$K$11,7,0)</f>
        <v>East</v>
      </c>
    </row>
    <row r="263" spans="1:7" ht="15.75" customHeight="1" x14ac:dyDescent="0.3">
      <c r="A263" s="33">
        <v>1331</v>
      </c>
      <c r="B263" s="33">
        <v>11</v>
      </c>
      <c r="C263" s="33" t="s">
        <v>61</v>
      </c>
      <c r="D263" s="33" t="s">
        <v>48</v>
      </c>
      <c r="E263" s="34">
        <v>147</v>
      </c>
      <c r="F263" t="str">
        <f>VLOOKUP(Relationships!D263,'Lookup Tables'!$A$4:$B$20,2,0)</f>
        <v>Dried Fruit &amp; Nuts</v>
      </c>
      <c r="G263" t="str">
        <f>VLOOKUP(C263,'Lookup Tables'!$E$4:$K$11,7,0)</f>
        <v>South</v>
      </c>
    </row>
    <row r="264" spans="1:7" ht="15.75" customHeight="1" x14ac:dyDescent="0.3">
      <c r="A264" s="33">
        <v>1332</v>
      </c>
      <c r="B264" s="33">
        <v>11</v>
      </c>
      <c r="C264" s="33" t="s">
        <v>61</v>
      </c>
      <c r="D264" s="33" t="s">
        <v>63</v>
      </c>
      <c r="E264" s="34">
        <v>299</v>
      </c>
      <c r="F264" t="str">
        <f>VLOOKUP(Relationships!D264,'Lookup Tables'!$A$4:$B$20,2,0)</f>
        <v>Beverages</v>
      </c>
      <c r="G264" t="str">
        <f>VLOOKUP(C264,'Lookup Tables'!$E$4:$K$11,7,0)</f>
        <v>South</v>
      </c>
    </row>
    <row r="265" spans="1:7" ht="15.75" customHeight="1" x14ac:dyDescent="0.3">
      <c r="A265" s="33">
        <v>1333</v>
      </c>
      <c r="B265" s="33">
        <v>1</v>
      </c>
      <c r="C265" s="33" t="s">
        <v>54</v>
      </c>
      <c r="D265" s="33" t="s">
        <v>52</v>
      </c>
      <c r="E265" s="34">
        <v>756</v>
      </c>
      <c r="F265" t="str">
        <f>VLOOKUP(Relationships!D265,'Lookup Tables'!$A$4:$B$20,2,0)</f>
        <v>Beverages</v>
      </c>
      <c r="G265" t="str">
        <f>VLOOKUP(C265,'Lookup Tables'!$E$4:$K$11,7,0)</f>
        <v>North</v>
      </c>
    </row>
    <row r="266" spans="1:7" ht="15.75" customHeight="1" x14ac:dyDescent="0.3">
      <c r="A266" s="33">
        <v>1334</v>
      </c>
      <c r="B266" s="33">
        <v>1</v>
      </c>
      <c r="C266" s="33" t="s">
        <v>54</v>
      </c>
      <c r="D266" s="33" t="s">
        <v>53</v>
      </c>
      <c r="E266" s="34">
        <v>736</v>
      </c>
      <c r="F266" t="str">
        <f>VLOOKUP(Relationships!D266,'Lookup Tables'!$A$4:$B$20,2,0)</f>
        <v>Beverages</v>
      </c>
      <c r="G266" t="str">
        <f>VLOOKUP(C266,'Lookup Tables'!$E$4:$K$11,7,0)</f>
        <v>North</v>
      </c>
    </row>
    <row r="267" spans="1:7" ht="15.75" customHeight="1" x14ac:dyDescent="0.3">
      <c r="A267" s="33">
        <v>1335</v>
      </c>
      <c r="B267" s="33">
        <v>1</v>
      </c>
      <c r="C267" s="33" t="s">
        <v>54</v>
      </c>
      <c r="D267" s="33" t="s">
        <v>63</v>
      </c>
      <c r="E267" s="34">
        <v>65.78</v>
      </c>
      <c r="F267" t="str">
        <f>VLOOKUP(Relationships!D267,'Lookup Tables'!$A$4:$B$20,2,0)</f>
        <v>Beverages</v>
      </c>
      <c r="G267" t="str">
        <f>VLOOKUP(C267,'Lookup Tables'!$E$4:$K$11,7,0)</f>
        <v>North</v>
      </c>
    </row>
    <row r="268" spans="1:7" ht="15.75" customHeight="1" x14ac:dyDescent="0.3">
      <c r="A268" s="33">
        <v>1336</v>
      </c>
      <c r="B268" s="33">
        <v>28</v>
      </c>
      <c r="C268" s="33" t="s">
        <v>61</v>
      </c>
      <c r="D268" s="33" t="s">
        <v>58</v>
      </c>
      <c r="E268" s="34">
        <v>443.90000000000003</v>
      </c>
      <c r="F268" t="str">
        <f>VLOOKUP(Relationships!D268,'Lookup Tables'!$A$4:$B$20,2,0)</f>
        <v>Soups</v>
      </c>
      <c r="G268" t="str">
        <f>VLOOKUP(C268,'Lookup Tables'!$E$4:$K$11,7,0)</f>
        <v>South</v>
      </c>
    </row>
    <row r="269" spans="1:7" ht="15.75" customHeight="1" x14ac:dyDescent="0.3">
      <c r="A269" s="33">
        <v>1337</v>
      </c>
      <c r="B269" s="33">
        <v>28</v>
      </c>
      <c r="C269" s="33" t="s">
        <v>61</v>
      </c>
      <c r="D269" s="33" t="s">
        <v>66</v>
      </c>
      <c r="E269" s="34">
        <v>1839.9999999999998</v>
      </c>
      <c r="F269" t="str">
        <f>VLOOKUP(Relationships!D269,'Lookup Tables'!$A$4:$B$20,2,0)</f>
        <v>Canned Meat</v>
      </c>
      <c r="G269" t="str">
        <f>VLOOKUP(C269,'Lookup Tables'!$E$4:$K$11,7,0)</f>
        <v>South</v>
      </c>
    </row>
    <row r="270" spans="1:7" ht="15.75" customHeight="1" x14ac:dyDescent="0.3">
      <c r="A270" s="33">
        <v>1339</v>
      </c>
      <c r="B270" s="33">
        <v>9</v>
      </c>
      <c r="C270" s="33" t="s">
        <v>67</v>
      </c>
      <c r="D270" s="33" t="s">
        <v>68</v>
      </c>
      <c r="E270" s="34">
        <v>2018.3999999999999</v>
      </c>
      <c r="F270" t="str">
        <f>VLOOKUP(Relationships!D270,'Lookup Tables'!$A$4:$B$20,2,0)</f>
        <v>Dairy Products</v>
      </c>
      <c r="G270" t="str">
        <f>VLOOKUP(C270,'Lookup Tables'!$E$4:$K$11,7,0)</f>
        <v>West</v>
      </c>
    </row>
    <row r="271" spans="1:7" ht="15.75" customHeight="1" x14ac:dyDescent="0.3">
      <c r="A271" s="33">
        <v>1340</v>
      </c>
      <c r="B271" s="33">
        <v>6</v>
      </c>
      <c r="C271" s="33" t="s">
        <v>59</v>
      </c>
      <c r="D271" s="33" t="s">
        <v>50</v>
      </c>
      <c r="E271" s="34">
        <v>1190</v>
      </c>
      <c r="F271" t="str">
        <f>VLOOKUP(Relationships!D271,'Lookup Tables'!$A$4:$B$20,2,0)</f>
        <v>Dried Fruit &amp; Nuts</v>
      </c>
      <c r="G271" t="str">
        <f>VLOOKUP(C271,'Lookup Tables'!$E$4:$K$11,7,0)</f>
        <v>North</v>
      </c>
    </row>
    <row r="272" spans="1:7" ht="15.75" customHeight="1" x14ac:dyDescent="0.3">
      <c r="A272" s="33">
        <v>1341</v>
      </c>
      <c r="B272" s="33">
        <v>8</v>
      </c>
      <c r="C272" s="33" t="s">
        <v>54</v>
      </c>
      <c r="D272" s="33" t="s">
        <v>60</v>
      </c>
      <c r="E272" s="34">
        <v>1120</v>
      </c>
      <c r="F272" t="str">
        <f>VLOOKUP(Relationships!D272,'Lookup Tables'!$A$4:$B$20,2,0)</f>
        <v>Sauces</v>
      </c>
      <c r="G272" t="str">
        <f>VLOOKUP(C272,'Lookup Tables'!$E$4:$K$11,7,0)</f>
        <v>North</v>
      </c>
    </row>
    <row r="273" spans="1:7" ht="15.75" customHeight="1" x14ac:dyDescent="0.3">
      <c r="A273" s="33">
        <v>1342</v>
      </c>
      <c r="B273" s="33">
        <v>8</v>
      </c>
      <c r="C273" s="33" t="s">
        <v>54</v>
      </c>
      <c r="D273" s="33" t="s">
        <v>55</v>
      </c>
      <c r="E273" s="34">
        <v>174.79999999999998</v>
      </c>
      <c r="F273" t="str">
        <f>VLOOKUP(Relationships!D273,'Lookup Tables'!$A$4:$B$20,2,0)</f>
        <v>Baked Goods &amp; Mixes</v>
      </c>
      <c r="G273" t="str">
        <f>VLOOKUP(C273,'Lookup Tables'!$E$4:$K$11,7,0)</f>
        <v>North</v>
      </c>
    </row>
    <row r="274" spans="1:7" ht="15.75" customHeight="1" x14ac:dyDescent="0.3">
      <c r="A274" s="33">
        <v>1343</v>
      </c>
      <c r="B274" s="33">
        <v>25</v>
      </c>
      <c r="C274" s="33" t="s">
        <v>62</v>
      </c>
      <c r="D274" s="33" t="s">
        <v>68</v>
      </c>
      <c r="E274" s="34">
        <v>990</v>
      </c>
      <c r="F274" t="str">
        <f>VLOOKUP(Relationships!D274,'Lookup Tables'!$A$4:$B$20,2,0)</f>
        <v>Dairy Products</v>
      </c>
      <c r="G274" t="str">
        <f>VLOOKUP(C274,'Lookup Tables'!$E$4:$K$11,7,0)</f>
        <v>East</v>
      </c>
    </row>
    <row r="275" spans="1:7" ht="15.75" customHeight="1" x14ac:dyDescent="0.3">
      <c r="A275" s="33">
        <v>1345</v>
      </c>
      <c r="B275" s="33">
        <v>26</v>
      </c>
      <c r="C275" s="33" t="s">
        <v>61</v>
      </c>
      <c r="D275" s="33" t="s">
        <v>58</v>
      </c>
      <c r="E275" s="34">
        <v>357.05</v>
      </c>
      <c r="F275" t="str">
        <f>VLOOKUP(Relationships!D275,'Lookup Tables'!$A$4:$B$20,2,0)</f>
        <v>Soups</v>
      </c>
      <c r="G275" t="str">
        <f>VLOOKUP(C275,'Lookup Tables'!$E$4:$K$11,7,0)</f>
        <v>South</v>
      </c>
    </row>
    <row r="276" spans="1:7" ht="15.75" customHeight="1" x14ac:dyDescent="0.3">
      <c r="A276" s="33">
        <v>1346</v>
      </c>
      <c r="B276" s="33">
        <v>26</v>
      </c>
      <c r="C276" s="33" t="s">
        <v>61</v>
      </c>
      <c r="D276" s="33" t="s">
        <v>66</v>
      </c>
      <c r="E276" s="34">
        <v>1177.5999999999999</v>
      </c>
      <c r="F276" t="str">
        <f>VLOOKUP(Relationships!D276,'Lookup Tables'!$A$4:$B$20,2,0)</f>
        <v>Canned Meat</v>
      </c>
      <c r="G276" t="str">
        <f>VLOOKUP(C276,'Lookup Tables'!$E$4:$K$11,7,0)</f>
        <v>South</v>
      </c>
    </row>
    <row r="277" spans="1:7" ht="15.75" customHeight="1" x14ac:dyDescent="0.3">
      <c r="A277" s="33">
        <v>1347</v>
      </c>
      <c r="B277" s="33">
        <v>29</v>
      </c>
      <c r="C277" s="33" t="s">
        <v>56</v>
      </c>
      <c r="D277" s="33" t="s">
        <v>51</v>
      </c>
      <c r="E277" s="34">
        <v>532</v>
      </c>
      <c r="F277" t="str">
        <f>VLOOKUP(Relationships!D277,'Lookup Tables'!$A$4:$B$20,2,0)</f>
        <v>Dried Fruit &amp; Nuts</v>
      </c>
      <c r="G277" t="str">
        <f>VLOOKUP(C277,'Lookup Tables'!$E$4:$K$11,7,0)</f>
        <v>West</v>
      </c>
    </row>
    <row r="278" spans="1:7" ht="15.75" customHeight="1" x14ac:dyDescent="0.3">
      <c r="A278" s="33">
        <v>1348</v>
      </c>
      <c r="B278" s="33">
        <v>6</v>
      </c>
      <c r="C278" s="33" t="s">
        <v>59</v>
      </c>
      <c r="D278" s="33" t="s">
        <v>57</v>
      </c>
      <c r="E278" s="34">
        <v>191.25</v>
      </c>
      <c r="F278" t="str">
        <f>VLOOKUP(Relationships!D278,'Lookup Tables'!$A$4:$B$20,2,0)</f>
        <v>Candy</v>
      </c>
      <c r="G278" t="str">
        <f>VLOOKUP(C278,'Lookup Tables'!$E$4:$K$11,7,0)</f>
        <v>North</v>
      </c>
    </row>
    <row r="279" spans="1:7" ht="15.75" customHeight="1" x14ac:dyDescent="0.3">
      <c r="A279" s="33">
        <v>1350</v>
      </c>
      <c r="B279" s="33">
        <v>4</v>
      </c>
      <c r="C279" s="33" t="s">
        <v>49</v>
      </c>
      <c r="D279" s="33" t="s">
        <v>53</v>
      </c>
      <c r="E279" s="34">
        <v>4212</v>
      </c>
      <c r="F279" t="str">
        <f>VLOOKUP(Relationships!D279,'Lookup Tables'!$A$4:$B$20,2,0)</f>
        <v>Beverages</v>
      </c>
      <c r="G279" t="str">
        <f>VLOOKUP(C279,'Lookup Tables'!$E$4:$K$11,7,0)</f>
        <v>East</v>
      </c>
    </row>
    <row r="280" spans="1:7" ht="15.75" customHeight="1" x14ac:dyDescent="0.3">
      <c r="A280" s="33">
        <v>1353</v>
      </c>
      <c r="B280" s="33">
        <v>8</v>
      </c>
      <c r="C280" s="33" t="s">
        <v>54</v>
      </c>
      <c r="D280" s="33" t="s">
        <v>68</v>
      </c>
      <c r="E280" s="34">
        <v>835.19999999999993</v>
      </c>
      <c r="F280" t="str">
        <f>VLOOKUP(Relationships!D280,'Lookup Tables'!$A$4:$B$20,2,0)</f>
        <v>Dairy Products</v>
      </c>
      <c r="G280" t="str">
        <f>VLOOKUP(C280,'Lookup Tables'!$E$4:$K$11,7,0)</f>
        <v>North</v>
      </c>
    </row>
    <row r="281" spans="1:7" ht="15.75" customHeight="1" x14ac:dyDescent="0.3">
      <c r="A281" s="33">
        <v>1356</v>
      </c>
      <c r="B281" s="33">
        <v>3</v>
      </c>
      <c r="C281" s="33" t="s">
        <v>46</v>
      </c>
      <c r="D281" s="33" t="s">
        <v>69</v>
      </c>
      <c r="E281" s="34">
        <v>360</v>
      </c>
      <c r="F281" t="str">
        <f>VLOOKUP(Relationships!D281,'Lookup Tables'!$A$4:$B$20,2,0)</f>
        <v>Condiments</v>
      </c>
      <c r="G281" t="str">
        <f>VLOOKUP(C281,'Lookup Tables'!$E$4:$K$11,7,0)</f>
        <v>West</v>
      </c>
    </row>
    <row r="282" spans="1:7" ht="15.75" customHeight="1" x14ac:dyDescent="0.3">
      <c r="A282" s="33">
        <v>1357</v>
      </c>
      <c r="B282" s="33">
        <v>3</v>
      </c>
      <c r="C282" s="33" t="s">
        <v>46</v>
      </c>
      <c r="D282" s="33" t="s">
        <v>60</v>
      </c>
      <c r="E282" s="34">
        <v>960</v>
      </c>
      <c r="F282" t="str">
        <f>VLOOKUP(Relationships!D282,'Lookup Tables'!$A$4:$B$20,2,0)</f>
        <v>Sauces</v>
      </c>
      <c r="G282" t="str">
        <f>VLOOKUP(C282,'Lookup Tables'!$E$4:$K$11,7,0)</f>
        <v>West</v>
      </c>
    </row>
    <row r="283" spans="1:7" ht="15.75" customHeight="1" x14ac:dyDescent="0.3">
      <c r="A283" s="33">
        <v>1361</v>
      </c>
      <c r="B283" s="33">
        <v>10</v>
      </c>
      <c r="C283" s="33" t="s">
        <v>62</v>
      </c>
      <c r="D283" s="33" t="s">
        <v>53</v>
      </c>
      <c r="E283" s="34">
        <v>200</v>
      </c>
      <c r="F283" t="str">
        <f>VLOOKUP(Relationships!D283,'Lookup Tables'!$A$4:$B$20,2,0)</f>
        <v>Beverages</v>
      </c>
      <c r="G283" t="str">
        <f>VLOOKUP(C283,'Lookup Tables'!$E$4:$K$11,7,0)</f>
        <v>East</v>
      </c>
    </row>
    <row r="284" spans="1:7" ht="15.75" customHeight="1" x14ac:dyDescent="0.3">
      <c r="A284" s="33">
        <v>1363</v>
      </c>
      <c r="B284" s="33">
        <v>10</v>
      </c>
      <c r="C284" s="33" t="s">
        <v>62</v>
      </c>
      <c r="D284" s="33" t="s">
        <v>48</v>
      </c>
      <c r="E284" s="34">
        <v>38.5</v>
      </c>
      <c r="F284" t="str">
        <f>VLOOKUP(Relationships!D284,'Lookup Tables'!$A$4:$B$20,2,0)</f>
        <v>Dried Fruit &amp; Nuts</v>
      </c>
      <c r="G284" t="str">
        <f>VLOOKUP(C284,'Lookup Tables'!$E$4:$K$11,7,0)</f>
        <v>East</v>
      </c>
    </row>
    <row r="285" spans="1:7" ht="15.75" customHeight="1" x14ac:dyDescent="0.3">
      <c r="A285" s="33">
        <v>1364</v>
      </c>
      <c r="B285" s="33">
        <v>11</v>
      </c>
      <c r="C285" s="33" t="s">
        <v>61</v>
      </c>
      <c r="D285" s="33" t="s">
        <v>60</v>
      </c>
      <c r="E285" s="34">
        <v>3120</v>
      </c>
      <c r="F285" t="str">
        <f>VLOOKUP(Relationships!D285,'Lookup Tables'!$A$4:$B$20,2,0)</f>
        <v>Sauces</v>
      </c>
      <c r="G285" t="str">
        <f>VLOOKUP(C285,'Lookup Tables'!$E$4:$K$11,7,0)</f>
        <v>South</v>
      </c>
    </row>
    <row r="286" spans="1:7" ht="15.75" customHeight="1" x14ac:dyDescent="0.3">
      <c r="A286" s="33">
        <v>1365</v>
      </c>
      <c r="B286" s="33">
        <v>1</v>
      </c>
      <c r="C286" s="33" t="s">
        <v>54</v>
      </c>
      <c r="D286" s="33" t="s">
        <v>66</v>
      </c>
      <c r="E286" s="34">
        <v>1398.3999999999999</v>
      </c>
      <c r="F286" t="str">
        <f>VLOOKUP(Relationships!D286,'Lookup Tables'!$A$4:$B$20,2,0)</f>
        <v>Canned Meat</v>
      </c>
      <c r="G286" t="str">
        <f>VLOOKUP(C286,'Lookup Tables'!$E$4:$K$11,7,0)</f>
        <v>North</v>
      </c>
    </row>
    <row r="287" spans="1:7" ht="15.75" customHeight="1" x14ac:dyDescent="0.3">
      <c r="A287" s="33">
        <v>1366</v>
      </c>
      <c r="B287" s="33">
        <v>28</v>
      </c>
      <c r="C287" s="33" t="s">
        <v>61</v>
      </c>
      <c r="D287" s="33" t="s">
        <v>53</v>
      </c>
      <c r="E287" s="34">
        <v>2622</v>
      </c>
      <c r="F287" t="str">
        <f>VLOOKUP(Relationships!D287,'Lookup Tables'!$A$4:$B$20,2,0)</f>
        <v>Beverages</v>
      </c>
      <c r="G287" t="str">
        <f>VLOOKUP(C287,'Lookup Tables'!$E$4:$K$11,7,0)</f>
        <v>South</v>
      </c>
    </row>
    <row r="288" spans="1:7" ht="15.75" customHeight="1" x14ac:dyDescent="0.3">
      <c r="A288" s="33">
        <v>1367</v>
      </c>
      <c r="B288" s="33">
        <v>9</v>
      </c>
      <c r="C288" s="33" t="s">
        <v>67</v>
      </c>
      <c r="D288" s="33" t="s">
        <v>58</v>
      </c>
      <c r="E288" s="34">
        <v>135.1</v>
      </c>
      <c r="F288" t="str">
        <f>VLOOKUP(Relationships!D288,'Lookup Tables'!$A$4:$B$20,2,0)</f>
        <v>Soups</v>
      </c>
      <c r="G288" t="str">
        <f>VLOOKUP(C288,'Lookup Tables'!$E$4:$K$11,7,0)</f>
        <v>West</v>
      </c>
    </row>
    <row r="289" spans="1:7" ht="15.75" customHeight="1" x14ac:dyDescent="0.3">
      <c r="A289" s="33">
        <v>1368</v>
      </c>
      <c r="B289" s="33">
        <v>27</v>
      </c>
      <c r="C289" s="33" t="s">
        <v>46</v>
      </c>
      <c r="D289" s="33" t="s">
        <v>63</v>
      </c>
      <c r="E289" s="34">
        <v>196</v>
      </c>
      <c r="F289" t="str">
        <f>VLOOKUP(Relationships!D289,'Lookup Tables'!$A$4:$B$20,2,0)</f>
        <v>Beverages</v>
      </c>
      <c r="G289" t="str">
        <f>VLOOKUP(C289,'Lookup Tables'!$E$4:$K$11,7,0)</f>
        <v>West</v>
      </c>
    </row>
    <row r="290" spans="1:7" ht="15.75" customHeight="1" x14ac:dyDescent="0.3">
      <c r="A290" s="33">
        <v>1369</v>
      </c>
      <c r="B290" s="33">
        <v>27</v>
      </c>
      <c r="C290" s="33" t="s">
        <v>46</v>
      </c>
      <c r="D290" s="33" t="s">
        <v>48</v>
      </c>
      <c r="E290" s="34">
        <v>245</v>
      </c>
      <c r="F290" t="str">
        <f>VLOOKUP(Relationships!D290,'Lookup Tables'!$A$4:$B$20,2,0)</f>
        <v>Dried Fruit &amp; Nuts</v>
      </c>
      <c r="G290" t="str">
        <f>VLOOKUP(C290,'Lookup Tables'!$E$4:$K$11,7,0)</f>
        <v>West</v>
      </c>
    </row>
    <row r="291" spans="1:7" ht="15.75" customHeight="1" x14ac:dyDescent="0.3">
      <c r="A291" s="33">
        <v>1370</v>
      </c>
      <c r="B291" s="33">
        <v>4</v>
      </c>
      <c r="C291" s="33" t="s">
        <v>49</v>
      </c>
      <c r="D291" s="33" t="s">
        <v>50</v>
      </c>
      <c r="E291" s="34">
        <v>3000</v>
      </c>
      <c r="F291" t="str">
        <f>VLOOKUP(Relationships!D291,'Lookup Tables'!$A$4:$B$20,2,0)</f>
        <v>Dried Fruit &amp; Nuts</v>
      </c>
      <c r="G291" t="str">
        <f>VLOOKUP(C291,'Lookup Tables'!$E$4:$K$11,7,0)</f>
        <v>East</v>
      </c>
    </row>
    <row r="292" spans="1:7" ht="15.75" customHeight="1" x14ac:dyDescent="0.3">
      <c r="A292" s="33">
        <v>1371</v>
      </c>
      <c r="B292" s="33">
        <v>4</v>
      </c>
      <c r="C292" s="33" t="s">
        <v>49</v>
      </c>
      <c r="D292" s="33" t="s">
        <v>51</v>
      </c>
      <c r="E292" s="34">
        <v>1431</v>
      </c>
      <c r="F292" t="str">
        <f>VLOOKUP(Relationships!D292,'Lookup Tables'!$A$4:$B$20,2,0)</f>
        <v>Dried Fruit &amp; Nuts</v>
      </c>
      <c r="G292" t="str">
        <f>VLOOKUP(C292,'Lookup Tables'!$E$4:$K$11,7,0)</f>
        <v>East</v>
      </c>
    </row>
    <row r="293" spans="1:7" ht="15.75" customHeight="1" x14ac:dyDescent="0.3">
      <c r="A293" s="33">
        <v>1372</v>
      </c>
      <c r="B293" s="33">
        <v>4</v>
      </c>
      <c r="C293" s="33" t="s">
        <v>49</v>
      </c>
      <c r="D293" s="33" t="s">
        <v>48</v>
      </c>
      <c r="E293" s="34">
        <v>245</v>
      </c>
      <c r="F293" t="str">
        <f>VLOOKUP(Relationships!D293,'Lookup Tables'!$A$4:$B$20,2,0)</f>
        <v>Dried Fruit &amp; Nuts</v>
      </c>
      <c r="G293" t="str">
        <f>VLOOKUP(C293,'Lookup Tables'!$E$4:$K$11,7,0)</f>
        <v>East</v>
      </c>
    </row>
    <row r="294" spans="1:7" ht="15.75" customHeight="1" x14ac:dyDescent="0.3">
      <c r="A294" s="33">
        <v>1373</v>
      </c>
      <c r="B294" s="33">
        <v>12</v>
      </c>
      <c r="C294" s="33" t="s">
        <v>46</v>
      </c>
      <c r="D294" s="33" t="s">
        <v>52</v>
      </c>
      <c r="E294" s="34">
        <v>1026</v>
      </c>
      <c r="F294" t="str">
        <f>VLOOKUP(Relationships!D294,'Lookup Tables'!$A$4:$B$20,2,0)</f>
        <v>Beverages</v>
      </c>
      <c r="G294" t="str">
        <f>VLOOKUP(C294,'Lookup Tables'!$E$4:$K$11,7,0)</f>
        <v>West</v>
      </c>
    </row>
    <row r="295" spans="1:7" ht="15.75" customHeight="1" x14ac:dyDescent="0.3">
      <c r="A295" s="33">
        <v>1374</v>
      </c>
      <c r="B295" s="33">
        <v>12</v>
      </c>
      <c r="C295" s="33" t="s">
        <v>46</v>
      </c>
      <c r="D295" s="33" t="s">
        <v>53</v>
      </c>
      <c r="E295" s="34">
        <v>3818</v>
      </c>
      <c r="F295" t="str">
        <f>VLOOKUP(Relationships!D295,'Lookup Tables'!$A$4:$B$20,2,0)</f>
        <v>Beverages</v>
      </c>
      <c r="G295" t="str">
        <f>VLOOKUP(C295,'Lookup Tables'!$E$4:$K$11,7,0)</f>
        <v>West</v>
      </c>
    </row>
    <row r="296" spans="1:7" ht="15.75" customHeight="1" x14ac:dyDescent="0.3">
      <c r="A296" s="33">
        <v>1375</v>
      </c>
      <c r="B296" s="33">
        <v>8</v>
      </c>
      <c r="C296" s="33" t="s">
        <v>54</v>
      </c>
      <c r="D296" s="33" t="s">
        <v>55</v>
      </c>
      <c r="E296" s="34">
        <v>699.19999999999993</v>
      </c>
      <c r="F296" t="str">
        <f>VLOOKUP(Relationships!D296,'Lookup Tables'!$A$4:$B$20,2,0)</f>
        <v>Baked Goods &amp; Mixes</v>
      </c>
      <c r="G296" t="str">
        <f>VLOOKUP(C296,'Lookup Tables'!$E$4:$K$11,7,0)</f>
        <v>North</v>
      </c>
    </row>
    <row r="297" spans="1:7" ht="15.75" customHeight="1" x14ac:dyDescent="0.3">
      <c r="A297" s="33">
        <v>1376</v>
      </c>
      <c r="B297" s="33">
        <v>4</v>
      </c>
      <c r="C297" s="33" t="s">
        <v>49</v>
      </c>
      <c r="D297" s="33" t="s">
        <v>55</v>
      </c>
      <c r="E297" s="34">
        <v>736</v>
      </c>
      <c r="F297" t="str">
        <f>VLOOKUP(Relationships!D297,'Lookup Tables'!$A$4:$B$20,2,0)</f>
        <v>Baked Goods &amp; Mixes</v>
      </c>
      <c r="G297" t="str">
        <f>VLOOKUP(C297,'Lookup Tables'!$E$4:$K$11,7,0)</f>
        <v>East</v>
      </c>
    </row>
    <row r="298" spans="1:7" ht="15.75" customHeight="1" x14ac:dyDescent="0.3">
      <c r="A298" s="33">
        <v>1377</v>
      </c>
      <c r="B298" s="33">
        <v>29</v>
      </c>
      <c r="C298" s="33" t="s">
        <v>56</v>
      </c>
      <c r="D298" s="33" t="s">
        <v>57</v>
      </c>
      <c r="E298" s="34">
        <v>599.25</v>
      </c>
      <c r="F298" t="str">
        <f>VLOOKUP(Relationships!D298,'Lookup Tables'!$A$4:$B$20,2,0)</f>
        <v>Candy</v>
      </c>
      <c r="G298" t="str">
        <f>VLOOKUP(C298,'Lookup Tables'!$E$4:$K$11,7,0)</f>
        <v>West</v>
      </c>
    </row>
    <row r="299" spans="1:7" ht="15.75" customHeight="1" x14ac:dyDescent="0.3">
      <c r="A299" s="33">
        <v>1378</v>
      </c>
      <c r="B299" s="33">
        <v>3</v>
      </c>
      <c r="C299" s="33" t="s">
        <v>46</v>
      </c>
      <c r="D299" s="33" t="s">
        <v>58</v>
      </c>
      <c r="E299" s="34">
        <v>926.40000000000009</v>
      </c>
      <c r="F299" t="str">
        <f>VLOOKUP(Relationships!D299,'Lookup Tables'!$A$4:$B$20,2,0)</f>
        <v>Soups</v>
      </c>
      <c r="G299" t="str">
        <f>VLOOKUP(C299,'Lookup Tables'!$E$4:$K$11,7,0)</f>
        <v>West</v>
      </c>
    </row>
    <row r="300" spans="1:7" ht="15.75" customHeight="1" x14ac:dyDescent="0.3">
      <c r="A300" s="33">
        <v>1379</v>
      </c>
      <c r="B300" s="33">
        <v>6</v>
      </c>
      <c r="C300" s="33" t="s">
        <v>59</v>
      </c>
      <c r="D300" s="33" t="s">
        <v>60</v>
      </c>
      <c r="E300" s="34">
        <v>1280</v>
      </c>
      <c r="F300" t="str">
        <f>VLOOKUP(Relationships!D300,'Lookup Tables'!$A$4:$B$20,2,0)</f>
        <v>Sauces</v>
      </c>
      <c r="G300" t="str">
        <f>VLOOKUP(C300,'Lookup Tables'!$E$4:$K$11,7,0)</f>
        <v>North</v>
      </c>
    </row>
    <row r="301" spans="1:7" ht="15.75" customHeight="1" x14ac:dyDescent="0.3">
      <c r="A301" s="33">
        <v>1380</v>
      </c>
      <c r="B301" s="33">
        <v>28</v>
      </c>
      <c r="C301" s="33" t="s">
        <v>61</v>
      </c>
      <c r="D301" s="33" t="s">
        <v>53</v>
      </c>
      <c r="E301" s="34">
        <v>736</v>
      </c>
      <c r="F301" t="str">
        <f>VLOOKUP(Relationships!D301,'Lookup Tables'!$A$4:$B$20,2,0)</f>
        <v>Beverages</v>
      </c>
      <c r="G301" t="str">
        <f>VLOOKUP(C301,'Lookup Tables'!$E$4:$K$11,7,0)</f>
        <v>South</v>
      </c>
    </row>
    <row r="302" spans="1:7" ht="15.75" customHeight="1" x14ac:dyDescent="0.3">
      <c r="A302" s="33">
        <v>1381</v>
      </c>
      <c r="B302" s="33">
        <v>8</v>
      </c>
      <c r="C302" s="33" t="s">
        <v>54</v>
      </c>
      <c r="D302" s="33" t="s">
        <v>57</v>
      </c>
      <c r="E302" s="34">
        <v>522.75</v>
      </c>
      <c r="F302" t="str">
        <f>VLOOKUP(Relationships!D302,'Lookup Tables'!$A$4:$B$20,2,0)</f>
        <v>Candy</v>
      </c>
      <c r="G302" t="str">
        <f>VLOOKUP(C302,'Lookup Tables'!$E$4:$K$11,7,0)</f>
        <v>North</v>
      </c>
    </row>
    <row r="303" spans="1:7" ht="15.75" customHeight="1" x14ac:dyDescent="0.3">
      <c r="A303" s="33">
        <v>1382</v>
      </c>
      <c r="B303" s="33">
        <v>10</v>
      </c>
      <c r="C303" s="33" t="s">
        <v>62</v>
      </c>
      <c r="D303" s="33" t="s">
        <v>63</v>
      </c>
      <c r="E303" s="34">
        <v>122.59</v>
      </c>
      <c r="F303" t="str">
        <f>VLOOKUP(Relationships!D303,'Lookup Tables'!$A$4:$B$20,2,0)</f>
        <v>Beverages</v>
      </c>
      <c r="G303" t="str">
        <f>VLOOKUP(C303,'Lookup Tables'!$E$4:$K$11,7,0)</f>
        <v>East</v>
      </c>
    </row>
    <row r="304" spans="1:7" ht="15.75" customHeight="1" x14ac:dyDescent="0.3">
      <c r="A304" s="33">
        <v>1383</v>
      </c>
      <c r="B304" s="33">
        <v>7</v>
      </c>
      <c r="C304" s="33" t="s">
        <v>54</v>
      </c>
      <c r="D304" s="33" t="s">
        <v>53</v>
      </c>
      <c r="E304" s="34">
        <v>1886</v>
      </c>
      <c r="F304" t="str">
        <f>VLOOKUP(Relationships!D304,'Lookup Tables'!$A$4:$B$20,2,0)</f>
        <v>Beverages</v>
      </c>
      <c r="G304" t="str">
        <f>VLOOKUP(C304,'Lookup Tables'!$E$4:$K$11,7,0)</f>
        <v>North</v>
      </c>
    </row>
    <row r="305" spans="1:7" ht="15.75" customHeight="1" x14ac:dyDescent="0.3">
      <c r="A305" s="33">
        <v>1384</v>
      </c>
      <c r="B305" s="33">
        <v>10</v>
      </c>
      <c r="C305" s="33" t="s">
        <v>62</v>
      </c>
      <c r="D305" s="33" t="s">
        <v>64</v>
      </c>
      <c r="E305" s="34">
        <v>2350</v>
      </c>
      <c r="F305" t="str">
        <f>VLOOKUP(Relationships!D305,'Lookup Tables'!$A$4:$B$20,2,0)</f>
        <v>Jams, Preserves</v>
      </c>
      <c r="G305" t="str">
        <f>VLOOKUP(C305,'Lookup Tables'!$E$4:$K$11,7,0)</f>
        <v>East</v>
      </c>
    </row>
    <row r="306" spans="1:7" ht="15.75" customHeight="1" x14ac:dyDescent="0.3">
      <c r="A306" s="33">
        <v>1385</v>
      </c>
      <c r="B306" s="33">
        <v>10</v>
      </c>
      <c r="C306" s="33" t="s">
        <v>62</v>
      </c>
      <c r="D306" s="33" t="s">
        <v>65</v>
      </c>
      <c r="E306" s="34">
        <v>440</v>
      </c>
      <c r="F306" t="str">
        <f>VLOOKUP(Relationships!D306,'Lookup Tables'!$A$4:$B$20,2,0)</f>
        <v>Condiments</v>
      </c>
      <c r="G306" t="str">
        <f>VLOOKUP(C306,'Lookup Tables'!$E$4:$K$11,7,0)</f>
        <v>East</v>
      </c>
    </row>
    <row r="307" spans="1:7" ht="15.75" customHeight="1" x14ac:dyDescent="0.3">
      <c r="A307" s="33">
        <v>1386</v>
      </c>
      <c r="B307" s="33">
        <v>10</v>
      </c>
      <c r="C307" s="33" t="s">
        <v>62</v>
      </c>
      <c r="D307" s="33" t="s">
        <v>55</v>
      </c>
      <c r="E307" s="34">
        <v>119.6</v>
      </c>
      <c r="F307" t="str">
        <f>VLOOKUP(Relationships!D307,'Lookup Tables'!$A$4:$B$20,2,0)</f>
        <v>Baked Goods &amp; Mixes</v>
      </c>
      <c r="G307" t="str">
        <f>VLOOKUP(C307,'Lookup Tables'!$E$4:$K$11,7,0)</f>
        <v>East</v>
      </c>
    </row>
    <row r="308" spans="1:7" ht="15.75" customHeight="1" x14ac:dyDescent="0.3">
      <c r="A308" s="33">
        <v>1387</v>
      </c>
      <c r="B308" s="33">
        <v>11</v>
      </c>
      <c r="C308" s="33" t="s">
        <v>61</v>
      </c>
      <c r="D308" s="33" t="s">
        <v>48</v>
      </c>
      <c r="E308" s="34">
        <v>259</v>
      </c>
      <c r="F308" t="str">
        <f>VLOOKUP(Relationships!D308,'Lookup Tables'!$A$4:$B$20,2,0)</f>
        <v>Dried Fruit &amp; Nuts</v>
      </c>
      <c r="G308" t="str">
        <f>VLOOKUP(C308,'Lookup Tables'!$E$4:$K$11,7,0)</f>
        <v>South</v>
      </c>
    </row>
    <row r="309" spans="1:7" ht="15.75" customHeight="1" x14ac:dyDescent="0.3">
      <c r="A309" s="33">
        <v>1388</v>
      </c>
      <c r="B309" s="33">
        <v>11</v>
      </c>
      <c r="C309" s="33" t="s">
        <v>61</v>
      </c>
      <c r="D309" s="33" t="s">
        <v>63</v>
      </c>
      <c r="E309" s="34">
        <v>158.47</v>
      </c>
      <c r="F309" t="str">
        <f>VLOOKUP(Relationships!D309,'Lookup Tables'!$A$4:$B$20,2,0)</f>
        <v>Beverages</v>
      </c>
      <c r="G309" t="str">
        <f>VLOOKUP(C309,'Lookup Tables'!$E$4:$K$11,7,0)</f>
        <v>South</v>
      </c>
    </row>
    <row r="310" spans="1:7" ht="15.75" customHeight="1" x14ac:dyDescent="0.3">
      <c r="A310" s="33">
        <v>1389</v>
      </c>
      <c r="B310" s="33">
        <v>1</v>
      </c>
      <c r="C310" s="33" t="s">
        <v>54</v>
      </c>
      <c r="D310" s="33" t="s">
        <v>52</v>
      </c>
      <c r="E310" s="34">
        <v>1782</v>
      </c>
      <c r="F310" t="str">
        <f>VLOOKUP(Relationships!D310,'Lookup Tables'!$A$4:$B$20,2,0)</f>
        <v>Beverages</v>
      </c>
      <c r="G310" t="str">
        <f>VLOOKUP(C310,'Lookup Tables'!$E$4:$K$11,7,0)</f>
        <v>North</v>
      </c>
    </row>
    <row r="311" spans="1:7" ht="15.75" customHeight="1" x14ac:dyDescent="0.3">
      <c r="A311" s="33">
        <v>1390</v>
      </c>
      <c r="B311" s="33">
        <v>1</v>
      </c>
      <c r="C311" s="33" t="s">
        <v>54</v>
      </c>
      <c r="D311" s="33" t="s">
        <v>53</v>
      </c>
      <c r="E311" s="34">
        <v>4094</v>
      </c>
      <c r="F311" t="str">
        <f>VLOOKUP(Relationships!D311,'Lookup Tables'!$A$4:$B$20,2,0)</f>
        <v>Beverages</v>
      </c>
      <c r="G311" t="str">
        <f>VLOOKUP(C311,'Lookup Tables'!$E$4:$K$11,7,0)</f>
        <v>North</v>
      </c>
    </row>
    <row r="312" spans="1:7" ht="15.75" customHeight="1" x14ac:dyDescent="0.3">
      <c r="A312" s="33">
        <v>1391</v>
      </c>
      <c r="B312" s="33">
        <v>1</v>
      </c>
      <c r="C312" s="33" t="s">
        <v>54</v>
      </c>
      <c r="D312" s="33" t="s">
        <v>63</v>
      </c>
      <c r="E312" s="34">
        <v>191.36</v>
      </c>
      <c r="F312" t="str">
        <f>VLOOKUP(Relationships!D312,'Lookup Tables'!$A$4:$B$20,2,0)</f>
        <v>Beverages</v>
      </c>
      <c r="G312" t="str">
        <f>VLOOKUP(C312,'Lookup Tables'!$E$4:$K$11,7,0)</f>
        <v>North</v>
      </c>
    </row>
    <row r="313" spans="1:7" ht="15.75" customHeight="1" x14ac:dyDescent="0.3">
      <c r="A313" s="33">
        <v>1392</v>
      </c>
      <c r="B313" s="33">
        <v>28</v>
      </c>
      <c r="C313" s="33" t="s">
        <v>61</v>
      </c>
      <c r="D313" s="33" t="s">
        <v>58</v>
      </c>
      <c r="E313" s="34">
        <v>945.7</v>
      </c>
      <c r="F313" t="str">
        <f>VLOOKUP(Relationships!D313,'Lookup Tables'!$A$4:$B$20,2,0)</f>
        <v>Soups</v>
      </c>
      <c r="G313" t="str">
        <f>VLOOKUP(C313,'Lookup Tables'!$E$4:$K$11,7,0)</f>
        <v>South</v>
      </c>
    </row>
    <row r="314" spans="1:7" ht="15.75" customHeight="1" x14ac:dyDescent="0.3">
      <c r="A314" s="33">
        <v>1393</v>
      </c>
      <c r="B314" s="33">
        <v>28</v>
      </c>
      <c r="C314" s="33" t="s">
        <v>61</v>
      </c>
      <c r="D314" s="33" t="s">
        <v>66</v>
      </c>
      <c r="E314" s="34">
        <v>1582.3999999999999</v>
      </c>
      <c r="F314" t="str">
        <f>VLOOKUP(Relationships!D314,'Lookup Tables'!$A$4:$B$20,2,0)</f>
        <v>Canned Meat</v>
      </c>
      <c r="G314" t="str">
        <f>VLOOKUP(C314,'Lookup Tables'!$E$4:$K$11,7,0)</f>
        <v>South</v>
      </c>
    </row>
    <row r="315" spans="1:7" ht="15.75" customHeight="1" x14ac:dyDescent="0.3">
      <c r="A315" s="33">
        <v>1395</v>
      </c>
      <c r="B315" s="33">
        <v>9</v>
      </c>
      <c r="C315" s="33" t="s">
        <v>67</v>
      </c>
      <c r="D315" s="33" t="s">
        <v>68</v>
      </c>
      <c r="E315" s="34">
        <v>2401.1999999999998</v>
      </c>
      <c r="F315" t="str">
        <f>VLOOKUP(Relationships!D315,'Lookup Tables'!$A$4:$B$20,2,0)</f>
        <v>Dairy Products</v>
      </c>
      <c r="G315" t="str">
        <f>VLOOKUP(C315,'Lookup Tables'!$E$4:$K$11,7,0)</f>
        <v>West</v>
      </c>
    </row>
    <row r="316" spans="1:7" ht="15.75" customHeight="1" x14ac:dyDescent="0.3">
      <c r="A316" s="33">
        <v>1396</v>
      </c>
      <c r="B316" s="33">
        <v>6</v>
      </c>
      <c r="C316" s="33" t="s">
        <v>59</v>
      </c>
      <c r="D316" s="33" t="s">
        <v>60</v>
      </c>
      <c r="E316" s="34">
        <v>952</v>
      </c>
      <c r="F316" t="str">
        <f>VLOOKUP(Relationships!D316,'Lookup Tables'!$A$4:$B$20,2,0)</f>
        <v>Sauces</v>
      </c>
      <c r="G316" t="str">
        <f>VLOOKUP(C316,'Lookup Tables'!$E$4:$K$11,7,0)</f>
        <v>North</v>
      </c>
    </row>
    <row r="317" spans="1:7" ht="15.75" customHeight="1" x14ac:dyDescent="0.3">
      <c r="A317" s="33">
        <v>1397</v>
      </c>
      <c r="B317" s="33">
        <v>8</v>
      </c>
      <c r="C317" s="33" t="s">
        <v>54</v>
      </c>
      <c r="D317" s="33" t="s">
        <v>60</v>
      </c>
      <c r="E317" s="34">
        <v>2080</v>
      </c>
      <c r="F317" t="str">
        <f>VLOOKUP(Relationships!D317,'Lookup Tables'!$A$4:$B$20,2,0)</f>
        <v>Sauces</v>
      </c>
      <c r="G317" t="str">
        <f>VLOOKUP(C317,'Lookup Tables'!$E$4:$K$11,7,0)</f>
        <v>North</v>
      </c>
    </row>
    <row r="318" spans="1:7" ht="15.75" customHeight="1" x14ac:dyDescent="0.3">
      <c r="A318" s="33">
        <v>1398</v>
      </c>
      <c r="B318" s="33">
        <v>8</v>
      </c>
      <c r="C318" s="33" t="s">
        <v>54</v>
      </c>
      <c r="D318" s="33" t="s">
        <v>55</v>
      </c>
      <c r="E318" s="34">
        <v>368</v>
      </c>
      <c r="F318" t="str">
        <f>VLOOKUP(Relationships!D318,'Lookup Tables'!$A$4:$B$20,2,0)</f>
        <v>Baked Goods &amp; Mixes</v>
      </c>
      <c r="G318" t="str">
        <f>VLOOKUP(C318,'Lookup Tables'!$E$4:$K$11,7,0)</f>
        <v>North</v>
      </c>
    </row>
    <row r="319" spans="1:7" ht="15.75" customHeight="1" x14ac:dyDescent="0.3">
      <c r="A319" s="33">
        <v>1399</v>
      </c>
      <c r="B319" s="33">
        <v>25</v>
      </c>
      <c r="C319" s="33" t="s">
        <v>62</v>
      </c>
      <c r="D319" s="33" t="s">
        <v>65</v>
      </c>
      <c r="E319" s="34">
        <v>1000</v>
      </c>
      <c r="F319" t="str">
        <f>VLOOKUP(Relationships!D319,'Lookup Tables'!$A$4:$B$20,2,0)</f>
        <v>Condiments</v>
      </c>
      <c r="G319" t="str">
        <f>VLOOKUP(C319,'Lookup Tables'!$E$4:$K$11,7,0)</f>
        <v>East</v>
      </c>
    </row>
    <row r="320" spans="1:7" ht="15.75" customHeight="1" x14ac:dyDescent="0.3">
      <c r="A320" s="33">
        <v>1401</v>
      </c>
      <c r="B320" s="33">
        <v>26</v>
      </c>
      <c r="C320" s="33" t="s">
        <v>61</v>
      </c>
      <c r="D320" s="33" t="s">
        <v>58</v>
      </c>
      <c r="E320" s="34">
        <v>443.90000000000003</v>
      </c>
      <c r="F320" t="str">
        <f>VLOOKUP(Relationships!D320,'Lookup Tables'!$A$4:$B$20,2,0)</f>
        <v>Soups</v>
      </c>
      <c r="G320" t="str">
        <f>VLOOKUP(C320,'Lookup Tables'!$E$4:$K$11,7,0)</f>
        <v>South</v>
      </c>
    </row>
    <row r="321" spans="1:7" ht="15.75" customHeight="1" x14ac:dyDescent="0.3">
      <c r="A321" s="33">
        <v>1402</v>
      </c>
      <c r="B321" s="33">
        <v>26</v>
      </c>
      <c r="C321" s="33" t="s">
        <v>61</v>
      </c>
      <c r="D321" s="33" t="s">
        <v>66</v>
      </c>
      <c r="E321" s="34">
        <v>1711.1999999999998</v>
      </c>
      <c r="F321" t="str">
        <f>VLOOKUP(Relationships!D321,'Lookup Tables'!$A$4:$B$20,2,0)</f>
        <v>Canned Meat</v>
      </c>
      <c r="G321" t="str">
        <f>VLOOKUP(C321,'Lookup Tables'!$E$4:$K$11,7,0)</f>
        <v>South</v>
      </c>
    </row>
    <row r="322" spans="1:7" ht="15.75" customHeight="1" x14ac:dyDescent="0.3">
      <c r="A322" s="33">
        <v>1403</v>
      </c>
      <c r="B322" s="33">
        <v>29</v>
      </c>
      <c r="C322" s="33" t="s">
        <v>56</v>
      </c>
      <c r="D322" s="33" t="s">
        <v>65</v>
      </c>
      <c r="E322" s="34">
        <v>1344</v>
      </c>
      <c r="F322" t="str">
        <f>VLOOKUP(Relationships!D322,'Lookup Tables'!$A$4:$B$20,2,0)</f>
        <v>Condiments</v>
      </c>
      <c r="G322" t="str">
        <f>VLOOKUP(C322,'Lookup Tables'!$E$4:$K$11,7,0)</f>
        <v>West</v>
      </c>
    </row>
    <row r="323" spans="1:7" ht="15.75" customHeight="1" x14ac:dyDescent="0.3">
      <c r="A323" s="33">
        <v>1404</v>
      </c>
      <c r="B323" s="33">
        <v>6</v>
      </c>
      <c r="C323" s="33" t="s">
        <v>59</v>
      </c>
      <c r="D323" s="33" t="s">
        <v>57</v>
      </c>
      <c r="E323" s="34">
        <v>153</v>
      </c>
      <c r="F323" t="str">
        <f>VLOOKUP(Relationships!D323,'Lookup Tables'!$A$4:$B$20,2,0)</f>
        <v>Candy</v>
      </c>
      <c r="G323" t="str">
        <f>VLOOKUP(C323,'Lookup Tables'!$E$4:$K$11,7,0)</f>
        <v>North</v>
      </c>
    </row>
    <row r="324" spans="1:7" ht="15.75" customHeight="1" x14ac:dyDescent="0.3">
      <c r="A324" s="33">
        <v>1406</v>
      </c>
      <c r="B324" s="33">
        <v>4</v>
      </c>
      <c r="C324" s="33" t="s">
        <v>49</v>
      </c>
      <c r="D324" s="33" t="s">
        <v>53</v>
      </c>
      <c r="E324" s="34">
        <v>3078</v>
      </c>
      <c r="F324" t="str">
        <f>VLOOKUP(Relationships!D324,'Lookup Tables'!$A$4:$B$20,2,0)</f>
        <v>Beverages</v>
      </c>
      <c r="G324" t="str">
        <f>VLOOKUP(C324,'Lookup Tables'!$E$4:$K$11,7,0)</f>
        <v>East</v>
      </c>
    </row>
    <row r="325" spans="1:7" ht="15.75" customHeight="1" x14ac:dyDescent="0.3">
      <c r="A325" s="33">
        <v>1409</v>
      </c>
      <c r="B325" s="33">
        <v>8</v>
      </c>
      <c r="C325" s="33" t="s">
        <v>54</v>
      </c>
      <c r="D325" s="33" t="s">
        <v>68</v>
      </c>
      <c r="E325" s="34">
        <v>3479.9999999999995</v>
      </c>
      <c r="F325" t="str">
        <f>VLOOKUP(Relationships!D325,'Lookup Tables'!$A$4:$B$20,2,0)</f>
        <v>Dairy Products</v>
      </c>
      <c r="G325" t="str">
        <f>VLOOKUP(C325,'Lookup Tables'!$E$4:$K$11,7,0)</f>
        <v>North</v>
      </c>
    </row>
    <row r="326" spans="1:7" ht="15.75" customHeight="1" x14ac:dyDescent="0.3">
      <c r="A326" s="33">
        <v>1412</v>
      </c>
      <c r="B326" s="33">
        <v>3</v>
      </c>
      <c r="C326" s="33" t="s">
        <v>46</v>
      </c>
      <c r="D326" s="33" t="s">
        <v>69</v>
      </c>
      <c r="E326" s="34">
        <v>890</v>
      </c>
      <c r="F326" t="str">
        <f>VLOOKUP(Relationships!D326,'Lookup Tables'!$A$4:$B$20,2,0)</f>
        <v>Condiments</v>
      </c>
      <c r="G326" t="str">
        <f>VLOOKUP(C326,'Lookup Tables'!$E$4:$K$11,7,0)</f>
        <v>West</v>
      </c>
    </row>
    <row r="327" spans="1:7" ht="15.75" customHeight="1" x14ac:dyDescent="0.3">
      <c r="A327" s="33">
        <v>1413</v>
      </c>
      <c r="B327" s="33">
        <v>3</v>
      </c>
      <c r="C327" s="33" t="s">
        <v>46</v>
      </c>
      <c r="D327" s="33" t="s">
        <v>60</v>
      </c>
      <c r="E327" s="34">
        <v>480</v>
      </c>
      <c r="F327" t="str">
        <f>VLOOKUP(Relationships!D327,'Lookup Tables'!$A$4:$B$20,2,0)</f>
        <v>Sauces</v>
      </c>
      <c r="G327" t="str">
        <f>VLOOKUP(C327,'Lookup Tables'!$E$4:$K$11,7,0)</f>
        <v>West</v>
      </c>
    </row>
    <row r="328" spans="1:7" ht="15.75" customHeight="1" x14ac:dyDescent="0.3">
      <c r="A328" s="33">
        <v>1417</v>
      </c>
      <c r="B328" s="33">
        <v>10</v>
      </c>
      <c r="C328" s="33" t="s">
        <v>62</v>
      </c>
      <c r="D328" s="33" t="s">
        <v>48</v>
      </c>
      <c r="E328" s="34">
        <v>970</v>
      </c>
      <c r="F328" t="str">
        <f>VLOOKUP(Relationships!D328,'Lookup Tables'!$A$4:$B$20,2,0)</f>
        <v>Dried Fruit &amp; Nuts</v>
      </c>
      <c r="G328" t="str">
        <f>VLOOKUP(C328,'Lookup Tables'!$E$4:$K$11,7,0)</f>
        <v>East</v>
      </c>
    </row>
    <row r="329" spans="1:7" ht="15.75" customHeight="1" x14ac:dyDescent="0.3">
      <c r="A329" s="33">
        <v>1419</v>
      </c>
      <c r="B329" s="33">
        <v>10</v>
      </c>
      <c r="C329" s="33" t="s">
        <v>62</v>
      </c>
      <c r="D329" s="33" t="s">
        <v>48</v>
      </c>
      <c r="E329" s="34">
        <v>185.5</v>
      </c>
      <c r="F329" t="str">
        <f>VLOOKUP(Relationships!D329,'Lookup Tables'!$A$4:$B$20,2,0)</f>
        <v>Dried Fruit &amp; Nuts</v>
      </c>
      <c r="G329" t="str">
        <f>VLOOKUP(C329,'Lookup Tables'!$E$4:$K$11,7,0)</f>
        <v>East</v>
      </c>
    </row>
    <row r="330" spans="1:7" ht="15.75" customHeight="1" x14ac:dyDescent="0.3">
      <c r="A330" s="33">
        <v>1420</v>
      </c>
      <c r="B330" s="33">
        <v>11</v>
      </c>
      <c r="C330" s="33" t="s">
        <v>61</v>
      </c>
      <c r="D330" s="33" t="s">
        <v>60</v>
      </c>
      <c r="E330" s="34">
        <v>2440</v>
      </c>
      <c r="F330" t="str">
        <f>VLOOKUP(Relationships!D330,'Lookup Tables'!$A$4:$B$20,2,0)</f>
        <v>Sauces</v>
      </c>
      <c r="G330" t="str">
        <f>VLOOKUP(C330,'Lookup Tables'!$E$4:$K$11,7,0)</f>
        <v>South</v>
      </c>
    </row>
    <row r="331" spans="1:7" ht="15.75" customHeight="1" x14ac:dyDescent="0.3">
      <c r="A331" s="33">
        <v>1421</v>
      </c>
      <c r="B331" s="33">
        <v>1</v>
      </c>
      <c r="C331" s="33" t="s">
        <v>54</v>
      </c>
      <c r="D331" s="33" t="s">
        <v>66</v>
      </c>
      <c r="E331" s="34">
        <v>827.99999999999989</v>
      </c>
      <c r="F331" t="str">
        <f>VLOOKUP(Relationships!D331,'Lookup Tables'!$A$4:$B$20,2,0)</f>
        <v>Canned Meat</v>
      </c>
      <c r="G331" t="str">
        <f>VLOOKUP(C331,'Lookup Tables'!$E$4:$K$11,7,0)</f>
        <v>North</v>
      </c>
    </row>
    <row r="332" spans="1:7" ht="15.75" customHeight="1" x14ac:dyDescent="0.3">
      <c r="A332" s="33">
        <v>1422</v>
      </c>
      <c r="B332" s="33">
        <v>28</v>
      </c>
      <c r="C332" s="33" t="s">
        <v>61</v>
      </c>
      <c r="D332" s="33" t="s">
        <v>53</v>
      </c>
      <c r="E332" s="34">
        <v>1978</v>
      </c>
      <c r="F332" t="str">
        <f>VLOOKUP(Relationships!D332,'Lookup Tables'!$A$4:$B$20,2,0)</f>
        <v>Beverages</v>
      </c>
      <c r="G332" t="str">
        <f>VLOOKUP(C332,'Lookup Tables'!$E$4:$K$11,7,0)</f>
        <v>South</v>
      </c>
    </row>
    <row r="333" spans="1:7" ht="15.75" customHeight="1" x14ac:dyDescent="0.3">
      <c r="A333" s="33">
        <v>1423</v>
      </c>
      <c r="B333" s="33">
        <v>9</v>
      </c>
      <c r="C333" s="33" t="s">
        <v>67</v>
      </c>
      <c r="D333" s="33" t="s">
        <v>58</v>
      </c>
      <c r="E333" s="34">
        <v>173.70000000000002</v>
      </c>
      <c r="F333" t="str">
        <f>VLOOKUP(Relationships!D333,'Lookup Tables'!$A$4:$B$20,2,0)</f>
        <v>Soups</v>
      </c>
      <c r="G333" t="str">
        <f>VLOOKUP(C333,'Lookup Tables'!$E$4:$K$11,7,0)</f>
        <v>West</v>
      </c>
    </row>
    <row r="334" spans="1:7" ht="15.75" customHeight="1" x14ac:dyDescent="0.3">
      <c r="A334" s="33">
        <v>1424</v>
      </c>
      <c r="B334" s="33">
        <v>6</v>
      </c>
      <c r="C334" s="33" t="s">
        <v>59</v>
      </c>
      <c r="D334" s="33" t="s">
        <v>57</v>
      </c>
      <c r="E334" s="34">
        <v>522.75</v>
      </c>
      <c r="F334" t="str">
        <f>VLOOKUP(Relationships!D334,'Lookup Tables'!$A$4:$B$20,2,0)</f>
        <v>Candy</v>
      </c>
      <c r="G334" t="str">
        <f>VLOOKUP(C334,'Lookup Tables'!$E$4:$K$11,7,0)</f>
        <v>North</v>
      </c>
    </row>
    <row r="335" spans="1:7" ht="15.75" customHeight="1" x14ac:dyDescent="0.3">
      <c r="A335" s="33">
        <v>1425</v>
      </c>
      <c r="B335" s="33">
        <v>8</v>
      </c>
      <c r="C335" s="33" t="s">
        <v>54</v>
      </c>
      <c r="D335" s="33" t="s">
        <v>57</v>
      </c>
      <c r="E335" s="34">
        <v>242.25</v>
      </c>
      <c r="F335" t="str">
        <f>VLOOKUP(Relationships!D335,'Lookup Tables'!$A$4:$B$20,2,0)</f>
        <v>Candy</v>
      </c>
      <c r="G335" t="str">
        <f>VLOOKUP(C335,'Lookup Tables'!$E$4:$K$11,7,0)</f>
        <v>North</v>
      </c>
    </row>
    <row r="336" spans="1:7" ht="15.75" customHeight="1" x14ac:dyDescent="0.3">
      <c r="A336" s="33">
        <v>1426</v>
      </c>
      <c r="B336" s="33">
        <v>25</v>
      </c>
      <c r="C336" s="33" t="s">
        <v>62</v>
      </c>
      <c r="D336" s="33" t="s">
        <v>65</v>
      </c>
      <c r="E336" s="34">
        <v>1430</v>
      </c>
      <c r="F336" t="str">
        <f>VLOOKUP(Relationships!D336,'Lookup Tables'!$A$4:$B$20,2,0)</f>
        <v>Condiments</v>
      </c>
      <c r="G336" t="str">
        <f>VLOOKUP(C336,'Lookup Tables'!$E$4:$K$11,7,0)</f>
        <v>East</v>
      </c>
    </row>
    <row r="337" spans="1:7" ht="15.75" customHeight="1" x14ac:dyDescent="0.3">
      <c r="A337" s="33">
        <v>1427</v>
      </c>
      <c r="B337" s="33">
        <v>26</v>
      </c>
      <c r="C337" s="33" t="s">
        <v>61</v>
      </c>
      <c r="D337" s="33" t="s">
        <v>64</v>
      </c>
      <c r="E337" s="34">
        <v>325</v>
      </c>
      <c r="F337" t="str">
        <f>VLOOKUP(Relationships!D337,'Lookup Tables'!$A$4:$B$20,2,0)</f>
        <v>Jams, Preserves</v>
      </c>
      <c r="G337" t="str">
        <f>VLOOKUP(C337,'Lookup Tables'!$E$4:$K$11,7,0)</f>
        <v>South</v>
      </c>
    </row>
    <row r="338" spans="1:7" ht="15.75" customHeight="1" x14ac:dyDescent="0.3">
      <c r="A338" s="33">
        <v>1428</v>
      </c>
      <c r="B338" s="33">
        <v>29</v>
      </c>
      <c r="C338" s="33" t="s">
        <v>56</v>
      </c>
      <c r="D338" s="33" t="s">
        <v>55</v>
      </c>
      <c r="E338" s="34">
        <v>2106</v>
      </c>
      <c r="F338" t="str">
        <f>VLOOKUP(Relationships!D338,'Lookup Tables'!$A$4:$B$20,2,0)</f>
        <v>Baked Goods &amp; Mixes</v>
      </c>
      <c r="G338" t="str">
        <f>VLOOKUP(C338,'Lookup Tables'!$E$4:$K$11,7,0)</f>
        <v>West</v>
      </c>
    </row>
    <row r="339" spans="1:7" ht="15.75" customHeight="1" x14ac:dyDescent="0.3">
      <c r="A339" s="33">
        <v>1429</v>
      </c>
      <c r="B339" s="33">
        <v>6</v>
      </c>
      <c r="C339" s="33" t="s">
        <v>59</v>
      </c>
      <c r="D339" s="33" t="s">
        <v>50</v>
      </c>
      <c r="E339" s="34">
        <v>990</v>
      </c>
      <c r="F339" t="str">
        <f>VLOOKUP(Relationships!D339,'Lookup Tables'!$A$4:$B$20,2,0)</f>
        <v>Dried Fruit &amp; Nuts</v>
      </c>
      <c r="G339" t="str">
        <f>VLOOKUP(C339,'Lookup Tables'!$E$4:$K$11,7,0)</f>
        <v>North</v>
      </c>
    </row>
    <row r="340" spans="1:7" ht="15.75" customHeight="1" x14ac:dyDescent="0.3">
      <c r="A340" s="33">
        <v>1430</v>
      </c>
      <c r="B340" s="33">
        <v>6</v>
      </c>
      <c r="C340" s="33" t="s">
        <v>59</v>
      </c>
      <c r="D340" s="33" t="s">
        <v>51</v>
      </c>
      <c r="E340" s="34">
        <v>1802</v>
      </c>
      <c r="F340" t="str">
        <f>VLOOKUP(Relationships!D340,'Lookup Tables'!$A$4:$B$20,2,0)</f>
        <v>Dried Fruit &amp; Nuts</v>
      </c>
      <c r="G340" t="str">
        <f>VLOOKUP(C340,'Lookup Tables'!$E$4:$K$11,7,0)</f>
        <v>North</v>
      </c>
    </row>
    <row r="341" spans="1:7" ht="15.75" customHeight="1" x14ac:dyDescent="0.3">
      <c r="A341" s="33">
        <v>1432</v>
      </c>
      <c r="B341" s="33">
        <v>3</v>
      </c>
      <c r="C341" s="33" t="s">
        <v>46</v>
      </c>
      <c r="D341" s="33" t="s">
        <v>63</v>
      </c>
      <c r="E341" s="34">
        <v>71.760000000000005</v>
      </c>
      <c r="F341" t="str">
        <f>VLOOKUP(Relationships!D341,'Lookup Tables'!$A$4:$B$20,2,0)</f>
        <v>Beverages</v>
      </c>
      <c r="G341" t="str">
        <f>VLOOKUP(C341,'Lookup Tables'!$E$4:$K$11,7,0)</f>
        <v>West</v>
      </c>
    </row>
    <row r="342" spans="1:7" ht="15.75" customHeight="1" x14ac:dyDescent="0.3"/>
    <row r="343" spans="1:7" ht="15.75" customHeight="1" x14ac:dyDescent="0.3"/>
    <row r="344" spans="1:7" ht="15.75" customHeight="1" x14ac:dyDescent="0.3"/>
    <row r="345" spans="1:7" ht="15.75" customHeight="1" x14ac:dyDescent="0.3"/>
    <row r="346" spans="1:7" ht="15.75" customHeight="1" x14ac:dyDescent="0.3"/>
    <row r="347" spans="1:7" ht="15.75" customHeight="1" x14ac:dyDescent="0.3"/>
    <row r="348" spans="1:7" ht="15.75" customHeight="1" x14ac:dyDescent="0.3"/>
    <row r="349" spans="1:7" ht="15.75" customHeight="1" x14ac:dyDescent="0.3"/>
    <row r="350" spans="1:7" ht="15.75" customHeight="1" x14ac:dyDescent="0.3"/>
    <row r="351" spans="1:7" ht="15.75" customHeight="1" x14ac:dyDescent="0.3"/>
    <row r="352" spans="1:7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3:G341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21" customWidth="1"/>
    <col min="2" max="2" width="20.33203125" customWidth="1"/>
    <col min="3" max="4" width="8.6640625" customWidth="1"/>
    <col min="5" max="5" width="16.44140625" customWidth="1"/>
    <col min="6" max="6" width="11.44140625" customWidth="1"/>
    <col min="7" max="7" width="5.5546875" customWidth="1"/>
    <col min="8" max="8" width="9.6640625" customWidth="1"/>
    <col min="9" max="9" width="14.109375" customWidth="1"/>
    <col min="10" max="10" width="16.44140625" customWidth="1"/>
    <col min="11" max="11" width="7.109375" customWidth="1"/>
    <col min="12" max="13" width="8.6640625" customWidth="1"/>
    <col min="14" max="14" width="11.88671875" customWidth="1"/>
    <col min="15" max="15" width="15.44140625" customWidth="1"/>
    <col min="16" max="26" width="8.6640625" customWidth="1"/>
  </cols>
  <sheetData>
    <row r="1" spans="1:26" ht="20.25" customHeight="1" x14ac:dyDescent="0.35">
      <c r="A1" s="6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14.4" x14ac:dyDescent="0.3">
      <c r="A3" s="31" t="s">
        <v>42</v>
      </c>
      <c r="B3" s="31" t="s">
        <v>71</v>
      </c>
      <c r="E3" s="32" t="s">
        <v>41</v>
      </c>
      <c r="F3" s="32" t="s">
        <v>72</v>
      </c>
      <c r="G3" s="32" t="s">
        <v>73</v>
      </c>
      <c r="H3" s="32" t="s">
        <v>74</v>
      </c>
      <c r="I3" s="32" t="s">
        <v>75</v>
      </c>
      <c r="J3" s="32" t="s">
        <v>76</v>
      </c>
      <c r="K3" s="32" t="s">
        <v>77</v>
      </c>
      <c r="N3" s="35" t="s">
        <v>40</v>
      </c>
      <c r="O3" s="35" t="s">
        <v>78</v>
      </c>
    </row>
    <row r="4" spans="1:26" ht="14.4" x14ac:dyDescent="0.3">
      <c r="A4" s="33" t="s">
        <v>47</v>
      </c>
      <c r="B4" s="33" t="s">
        <v>79</v>
      </c>
      <c r="E4" s="33" t="s">
        <v>46</v>
      </c>
      <c r="F4" s="33" t="s">
        <v>80</v>
      </c>
      <c r="G4" s="33" t="s">
        <v>81</v>
      </c>
      <c r="H4" s="33">
        <v>5689</v>
      </c>
      <c r="I4" s="33" t="s">
        <v>82</v>
      </c>
      <c r="J4" s="33" t="s">
        <v>83</v>
      </c>
      <c r="K4" s="33" t="s">
        <v>84</v>
      </c>
      <c r="N4" s="33">
        <v>1</v>
      </c>
      <c r="O4" s="33" t="s">
        <v>85</v>
      </c>
    </row>
    <row r="5" spans="1:26" ht="14.4" x14ac:dyDescent="0.3">
      <c r="A5" s="33" t="s">
        <v>48</v>
      </c>
      <c r="B5" s="33" t="s">
        <v>86</v>
      </c>
      <c r="E5" s="33" t="s">
        <v>49</v>
      </c>
      <c r="F5" s="33" t="s">
        <v>87</v>
      </c>
      <c r="G5" s="33" t="s">
        <v>88</v>
      </c>
      <c r="H5" s="33">
        <v>5674</v>
      </c>
      <c r="I5" s="33" t="s">
        <v>82</v>
      </c>
      <c r="J5" s="33" t="s">
        <v>89</v>
      </c>
      <c r="K5" s="33" t="s">
        <v>90</v>
      </c>
      <c r="N5" s="33">
        <v>3</v>
      </c>
      <c r="O5" s="33" t="s">
        <v>91</v>
      </c>
    </row>
    <row r="6" spans="1:26" ht="14.4" x14ac:dyDescent="0.3">
      <c r="A6" s="33" t="s">
        <v>50</v>
      </c>
      <c r="B6" s="33" t="s">
        <v>86</v>
      </c>
      <c r="E6" s="33" t="s">
        <v>54</v>
      </c>
      <c r="F6" s="33" t="s">
        <v>80</v>
      </c>
      <c r="G6" s="33" t="s">
        <v>81</v>
      </c>
      <c r="H6" s="33">
        <v>5612</v>
      </c>
      <c r="I6" s="33" t="s">
        <v>82</v>
      </c>
      <c r="J6" s="33" t="s">
        <v>83</v>
      </c>
      <c r="K6" s="33" t="s">
        <v>92</v>
      </c>
      <c r="N6" s="33">
        <v>4</v>
      </c>
      <c r="O6" s="33" t="s">
        <v>93</v>
      </c>
    </row>
    <row r="7" spans="1:26" ht="14.4" x14ac:dyDescent="0.3">
      <c r="A7" s="33" t="s">
        <v>51</v>
      </c>
      <c r="B7" s="33" t="s">
        <v>86</v>
      </c>
      <c r="E7" s="33" t="s">
        <v>56</v>
      </c>
      <c r="F7" s="33" t="s">
        <v>87</v>
      </c>
      <c r="G7" s="33" t="s">
        <v>88</v>
      </c>
      <c r="H7" s="33">
        <v>5638</v>
      </c>
      <c r="I7" s="33" t="s">
        <v>94</v>
      </c>
      <c r="J7" s="33" t="s">
        <v>95</v>
      </c>
      <c r="K7" s="33" t="s">
        <v>84</v>
      </c>
      <c r="N7" s="33">
        <v>6</v>
      </c>
      <c r="O7" s="33" t="s">
        <v>96</v>
      </c>
    </row>
    <row r="8" spans="1:26" ht="14.4" x14ac:dyDescent="0.3">
      <c r="A8" s="33" t="s">
        <v>52</v>
      </c>
      <c r="B8" s="33" t="s">
        <v>79</v>
      </c>
      <c r="E8" s="33" t="s">
        <v>59</v>
      </c>
      <c r="F8" s="33" t="s">
        <v>97</v>
      </c>
      <c r="G8" s="33" t="s">
        <v>98</v>
      </c>
      <c r="H8" s="33">
        <v>5641</v>
      </c>
      <c r="I8" s="33" t="s">
        <v>99</v>
      </c>
      <c r="J8" s="33" t="s">
        <v>89</v>
      </c>
      <c r="K8" s="33" t="s">
        <v>92</v>
      </c>
      <c r="N8" s="33">
        <v>7</v>
      </c>
      <c r="O8" s="33" t="s">
        <v>100</v>
      </c>
    </row>
    <row r="9" spans="1:26" ht="14.4" x14ac:dyDescent="0.3">
      <c r="A9" s="33" t="s">
        <v>53</v>
      </c>
      <c r="B9" s="33" t="s">
        <v>79</v>
      </c>
      <c r="E9" s="33" t="s">
        <v>61</v>
      </c>
      <c r="F9" s="33" t="s">
        <v>97</v>
      </c>
      <c r="G9" s="33" t="s">
        <v>98</v>
      </c>
      <c r="H9" s="33">
        <v>5675</v>
      </c>
      <c r="I9" s="33" t="s">
        <v>94</v>
      </c>
      <c r="J9" s="33" t="s">
        <v>95</v>
      </c>
      <c r="K9" s="33" t="s">
        <v>101</v>
      </c>
      <c r="N9" s="33">
        <v>8</v>
      </c>
      <c r="O9" s="33" t="s">
        <v>102</v>
      </c>
    </row>
    <row r="10" spans="1:26" ht="14.4" x14ac:dyDescent="0.3">
      <c r="A10" s="33" t="s">
        <v>55</v>
      </c>
      <c r="B10" s="33" t="s">
        <v>103</v>
      </c>
      <c r="E10" s="33" t="s">
        <v>62</v>
      </c>
      <c r="F10" s="33" t="s">
        <v>104</v>
      </c>
      <c r="G10" s="33" t="s">
        <v>105</v>
      </c>
      <c r="H10" s="33">
        <v>5688</v>
      </c>
      <c r="I10" s="33" t="s">
        <v>99</v>
      </c>
      <c r="J10" s="33" t="s">
        <v>89</v>
      </c>
      <c r="K10" s="33" t="s">
        <v>90</v>
      </c>
      <c r="N10" s="33">
        <v>9</v>
      </c>
      <c r="O10" s="33" t="s">
        <v>106</v>
      </c>
    </row>
    <row r="11" spans="1:26" ht="14.4" x14ac:dyDescent="0.3">
      <c r="A11" s="33" t="s">
        <v>57</v>
      </c>
      <c r="B11" s="33" t="s">
        <v>107</v>
      </c>
      <c r="E11" s="33" t="s">
        <v>67</v>
      </c>
      <c r="F11" s="33" t="s">
        <v>108</v>
      </c>
      <c r="G11" s="33" t="s">
        <v>109</v>
      </c>
      <c r="H11" s="33">
        <v>5618</v>
      </c>
      <c r="I11" s="33" t="s">
        <v>99</v>
      </c>
      <c r="J11" s="33" t="s">
        <v>83</v>
      </c>
      <c r="K11" s="33" t="s">
        <v>84</v>
      </c>
      <c r="N11" s="33">
        <v>10</v>
      </c>
      <c r="O11" s="33" t="s">
        <v>110</v>
      </c>
    </row>
    <row r="12" spans="1:26" ht="14.4" x14ac:dyDescent="0.3">
      <c r="A12" s="33" t="s">
        <v>58</v>
      </c>
      <c r="B12" s="33" t="s">
        <v>111</v>
      </c>
      <c r="N12" s="33">
        <v>11</v>
      </c>
      <c r="O12" s="33" t="s">
        <v>112</v>
      </c>
    </row>
    <row r="13" spans="1:26" ht="14.4" x14ac:dyDescent="0.3">
      <c r="A13" s="33" t="s">
        <v>60</v>
      </c>
      <c r="B13" s="33" t="s">
        <v>113</v>
      </c>
      <c r="N13" s="33">
        <v>12</v>
      </c>
      <c r="O13" s="33" t="s">
        <v>114</v>
      </c>
    </row>
    <row r="14" spans="1:26" ht="14.4" x14ac:dyDescent="0.3">
      <c r="A14" s="33" t="s">
        <v>63</v>
      </c>
      <c r="B14" s="33" t="s">
        <v>79</v>
      </c>
      <c r="N14" s="33">
        <v>25</v>
      </c>
      <c r="O14" s="33" t="s">
        <v>115</v>
      </c>
    </row>
    <row r="15" spans="1:26" ht="14.4" x14ac:dyDescent="0.3">
      <c r="A15" s="33" t="s">
        <v>64</v>
      </c>
      <c r="B15" s="33" t="s">
        <v>116</v>
      </c>
      <c r="N15" s="33">
        <v>26</v>
      </c>
      <c r="O15" s="33" t="s">
        <v>117</v>
      </c>
    </row>
    <row r="16" spans="1:26" ht="14.4" x14ac:dyDescent="0.3">
      <c r="A16" s="33" t="s">
        <v>65</v>
      </c>
      <c r="B16" s="33" t="s">
        <v>118</v>
      </c>
      <c r="N16" s="33">
        <v>27</v>
      </c>
      <c r="O16" s="33" t="s">
        <v>119</v>
      </c>
    </row>
    <row r="17" spans="1:15" ht="14.4" x14ac:dyDescent="0.3">
      <c r="A17" s="33" t="s">
        <v>66</v>
      </c>
      <c r="B17" s="33" t="s">
        <v>120</v>
      </c>
      <c r="N17" s="33">
        <v>28</v>
      </c>
      <c r="O17" s="33" t="s">
        <v>121</v>
      </c>
    </row>
    <row r="18" spans="1:15" ht="14.4" x14ac:dyDescent="0.3">
      <c r="A18" s="33" t="s">
        <v>122</v>
      </c>
      <c r="B18" s="33" t="s">
        <v>123</v>
      </c>
      <c r="N18" s="33">
        <v>29</v>
      </c>
      <c r="O18" s="33" t="s">
        <v>124</v>
      </c>
    </row>
    <row r="19" spans="1:15" ht="14.4" x14ac:dyDescent="0.3">
      <c r="A19" s="33" t="s">
        <v>68</v>
      </c>
      <c r="B19" s="33" t="s">
        <v>125</v>
      </c>
    </row>
    <row r="20" spans="1:15" ht="14.4" x14ac:dyDescent="0.3">
      <c r="A20" s="33" t="s">
        <v>69</v>
      </c>
      <c r="B20" s="33" t="s">
        <v>118</v>
      </c>
    </row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TOC</vt:lpstr>
      <vt:lpstr>VLOOKUP Definition</vt:lpstr>
      <vt:lpstr>VLOOKUP Uses</vt:lpstr>
      <vt:lpstr>Write a VLOOKUP</vt:lpstr>
      <vt:lpstr>Errors</vt:lpstr>
      <vt:lpstr>First Match &amp; Sorting</vt:lpstr>
      <vt:lpstr>Relationships</vt:lpstr>
      <vt:lpstr>Lookup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K</cp:lastModifiedBy>
  <dcterms:modified xsi:type="dcterms:W3CDTF">2026-10-06T16:28:36Z</dcterms:modified>
</cp:coreProperties>
</file>