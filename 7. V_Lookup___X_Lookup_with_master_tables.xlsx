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4" documentId="8_{2EEDED93-8925-4EE8-A1C6-A95436F80DF2}" xr6:coauthVersionLast="47" xr6:coauthVersionMax="47" xr10:uidLastSave="{3252BBEC-D1BD-423A-B415-922AF2A02994}"/>
  <bookViews>
    <workbookView xWindow="-108" yWindow="-108" windowWidth="23256" windowHeight="12456" activeTab="1" xr2:uid="{00000000-000D-0000-FFFF-FFFF00000000}"/>
  </bookViews>
  <sheets>
    <sheet name="Vlookup" sheetId="1" r:id="rId1"/>
    <sheet name="X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E6" i="1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E7" i="1"/>
  <c r="E8" i="1"/>
  <c r="E9" i="1"/>
  <c r="E10" i="1"/>
  <c r="E11" i="1"/>
  <c r="E12" i="1"/>
  <c r="E13" i="1"/>
  <c r="E14" i="1"/>
  <c r="E15" i="1"/>
  <c r="E16" i="1"/>
  <c r="E17" i="1"/>
  <c r="E1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<sst xmlns="http://schemas.openxmlformats.org/spreadsheetml/2006/main" count="258" uniqueCount="132">
  <si>
    <t>Fill this in with XLOOKUP</t>
  </si>
  <si>
    <t>Sales Person</t>
  </si>
  <si>
    <t>Name</t>
  </si>
  <si>
    <t>Emp ID</t>
  </si>
  <si>
    <t>Gender</t>
  </si>
  <si>
    <t>Education Qualification</t>
  </si>
  <si>
    <t>No. Customers</t>
  </si>
  <si>
    <t>Date of Join</t>
  </si>
  <si>
    <t>Net Sales</t>
  </si>
  <si>
    <t>Job Title</t>
  </si>
  <si>
    <t>Salary</t>
  </si>
  <si>
    <t>Age</t>
  </si>
  <si>
    <t>Bonus Rate</t>
  </si>
  <si>
    <t>Profit / Loss</t>
  </si>
  <si>
    <t>Department</t>
  </si>
  <si>
    <t>Barank Obama</t>
  </si>
  <si>
    <t>Joseph</t>
  </si>
  <si>
    <t>AC0001</t>
  </si>
  <si>
    <t>Male</t>
  </si>
  <si>
    <t>Bachelor's Degree</t>
  </si>
  <si>
    <t>SP001</t>
  </si>
  <si>
    <t>Chocolatier</t>
  </si>
  <si>
    <t>Sales</t>
  </si>
  <si>
    <t>John</t>
  </si>
  <si>
    <t>Large Bush</t>
  </si>
  <si>
    <t>AC0002</t>
  </si>
  <si>
    <t>SP002</t>
  </si>
  <si>
    <t>Female</t>
  </si>
  <si>
    <t>Diploma</t>
  </si>
  <si>
    <t>Production Operator</t>
  </si>
  <si>
    <t>Fill Clinton</t>
  </si>
  <si>
    <t>AC0003</t>
  </si>
  <si>
    <t>High School Diploma</t>
  </si>
  <si>
    <t>Packaging Associate</t>
  </si>
  <si>
    <t>Marketing</t>
  </si>
  <si>
    <t>Josh</t>
  </si>
  <si>
    <t>Donald Roundup</t>
  </si>
  <si>
    <t>SP003</t>
  </si>
  <si>
    <t>AC0004</t>
  </si>
  <si>
    <t>Marketing Specialist</t>
  </si>
  <si>
    <t>Jamie</t>
  </si>
  <si>
    <t>SP004</t>
  </si>
  <si>
    <t>Now Biden</t>
  </si>
  <si>
    <t>Finance</t>
  </si>
  <si>
    <t>AC0005</t>
  </si>
  <si>
    <t>Jackie</t>
  </si>
  <si>
    <t>Master's Degree</t>
  </si>
  <si>
    <t>SP005</t>
  </si>
  <si>
    <t>Research Scientist</t>
  </si>
  <si>
    <t>Operations</t>
  </si>
  <si>
    <t>Johnson</t>
  </si>
  <si>
    <t>SP006</t>
  </si>
  <si>
    <t>ROWland Reagan</t>
  </si>
  <si>
    <t>AC0006</t>
  </si>
  <si>
    <t>Jonathan</t>
  </si>
  <si>
    <t>SP007</t>
  </si>
  <si>
    <t>Sales Representative</t>
  </si>
  <si>
    <t>Jagjit</t>
  </si>
  <si>
    <t>SP008</t>
  </si>
  <si>
    <t>Jimmy Charter</t>
  </si>
  <si>
    <t>AC0007</t>
  </si>
  <si>
    <t>Jairam</t>
  </si>
  <si>
    <t>SP009</t>
  </si>
  <si>
    <t>Quality Control</t>
  </si>
  <si>
    <t>Gerald Find</t>
  </si>
  <si>
    <t>Jessy</t>
  </si>
  <si>
    <t>AC0008</t>
  </si>
  <si>
    <t>SP010</t>
  </si>
  <si>
    <t>Javed</t>
  </si>
  <si>
    <t>SP011</t>
  </si>
  <si>
    <t>Research Analyst</t>
  </si>
  <si>
    <t>Richard Function</t>
  </si>
  <si>
    <t>AC0009</t>
  </si>
  <si>
    <t>Jimmy</t>
  </si>
  <si>
    <t>SP012</t>
  </si>
  <si>
    <t>Product Manager</t>
  </si>
  <si>
    <t>Juno</t>
  </si>
  <si>
    <t>Abraham LinColumn</t>
  </si>
  <si>
    <t>AC0010</t>
  </si>
  <si>
    <t>SP013</t>
  </si>
  <si>
    <t>Marketing Manager</t>
  </si>
  <si>
    <t>Harry S TRUEman</t>
  </si>
  <si>
    <t>AC0011</t>
  </si>
  <si>
    <t>John IF Kennedy</t>
  </si>
  <si>
    <t>AC0012</t>
  </si>
  <si>
    <t>Master reference table (Emp ID -&gt; Department). Use this as your table_array for VLOOKUP.</t>
  </si>
  <si>
    <t>Wood ROW Wilson</t>
  </si>
  <si>
    <t>AC0013</t>
  </si>
  <si>
    <t>Franklin D Choosevelt</t>
  </si>
  <si>
    <t>AC0014</t>
  </si>
  <si>
    <t>Ulysses S. GrandTotal</t>
  </si>
  <si>
    <t>AC0015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</si>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</sst>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\ _k_r_-;\-* #,##0\ _k_r_-;_-* \-??\ _k_r_-;_-@"/>
    <numFmt numFmtId="165" formatCode="_-\$* #,##0_-;&quot;-$&quot;* #,##0_-;_-\$* \-??_-;_-@"/>
  </numFmts>
  <fonts count="5" x14ac:knownFonts="1">
    <font>
      <sz val="11"/>
      <color theme="1"/>
      <name val="Calibri"/>
      <scheme val="minor"/>
    </font>
    <font>
      <i/>
      <sz val="10"/>
      <color rgb="FF80808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DDEBF7"/>
        <bgColor rgb="FFDDEBF7"/>
      </patternFill>
    </fill>
    <fill>
      <patternFill patternType="solid">
        <fgColor rgb="FFEEECE1"/>
        <bgColor rgb="FFEEECE1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F2F2F2"/>
      </bottom>
      <diagonal/>
    </border>
    <border>
      <left/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 style="thin">
        <color rgb="FF000000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 style="thin">
        <color rgb="FF000000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7" fontId="2" fillId="2" borderId="1" xfId="0" applyNumberFormat="1" applyFont="1" applyFill="1" applyBorder="1" applyAlignment="1">
      <alignment horizontal="left"/>
    </xf>
    <xf numFmtId="0" fontId="2" fillId="3" borderId="2" xfId="0" applyFont="1" applyFill="1" applyBorder="1"/>
    <xf numFmtId="0" fontId="2" fillId="2" borderId="3" xfId="0" applyFont="1" applyFill="1" applyBorder="1"/>
    <xf numFmtId="1" fontId="2" fillId="2" borderId="4" xfId="0" applyNumberFormat="1" applyFont="1" applyFill="1" applyBorder="1"/>
    <xf numFmtId="15" fontId="2" fillId="3" borderId="2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3" fillId="0" borderId="2" xfId="0" applyFont="1" applyBorder="1"/>
    <xf numFmtId="17" fontId="3" fillId="0" borderId="6" xfId="0" applyNumberFormat="1" applyFont="1" applyBorder="1" applyAlignment="1">
      <alignment horizontal="left"/>
    </xf>
    <xf numFmtId="0" fontId="3" fillId="0" borderId="0" xfId="0" applyFont="1"/>
    <xf numFmtId="15" fontId="3" fillId="0" borderId="2" xfId="0" applyNumberFormat="1" applyFont="1" applyBorder="1"/>
    <xf numFmtId="1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right"/>
    </xf>
    <xf numFmtId="165" fontId="3" fillId="0" borderId="2" xfId="0" applyNumberFormat="1" applyFont="1" applyBorder="1"/>
    <xf numFmtId="164" fontId="3" fillId="0" borderId="8" xfId="0" applyNumberFormat="1" applyFont="1" applyBorder="1" applyAlignment="1">
      <alignment horizontal="right"/>
    </xf>
    <xf numFmtId="0" fontId="3" fillId="4" borderId="3" xfId="0" applyFont="1" applyFill="1" applyBorder="1"/>
    <xf numFmtId="9" fontId="3" fillId="4" borderId="3" xfId="0" applyNumberFormat="1" applyFont="1" applyFill="1" applyBorder="1"/>
    <xf numFmtId="17" fontId="3" fillId="5" borderId="9" xfId="0" applyNumberFormat="1" applyFont="1" applyFill="1" applyBorder="1" applyAlignment="1">
      <alignment horizontal="left"/>
    </xf>
    <xf numFmtId="1" fontId="3" fillId="5" borderId="10" xfId="0" applyNumberFormat="1" applyFont="1" applyFill="1" applyBorder="1" applyAlignment="1">
      <alignment horizontal="center"/>
    </xf>
    <xf numFmtId="164" fontId="3" fillId="5" borderId="10" xfId="0" applyNumberFormat="1" applyFont="1" applyFill="1" applyBorder="1" applyAlignment="1">
      <alignment horizontal="right"/>
    </xf>
    <xf numFmtId="164" fontId="3" fillId="5" borderId="11" xfId="0" applyNumberFormat="1" applyFont="1" applyFill="1" applyBorder="1" applyAlignment="1">
      <alignment horizontal="right"/>
    </xf>
    <xf numFmtId="17" fontId="3" fillId="0" borderId="12" xfId="0" applyNumberFormat="1" applyFont="1" applyBorder="1" applyAlignment="1">
      <alignment horizontal="left"/>
    </xf>
    <xf numFmtId="1" fontId="3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9" fontId="1" fillId="0" borderId="0" xfId="1" applyFont="1"/>
    <xf numFmtId="9" fontId="2" fillId="2" borderId="3" xfId="1" applyFont="1" applyFill="1" applyBorder="1"/>
    <xf numFmtId="9" fontId="3" fillId="0" borderId="0" xfId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216B3E39-B0EB-47A2-9E63-0EF45595FA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K1000"/>
  <sheetViews>
    <sheetView workbookViewId="0">
      <selection activeCell="K5" sqref="K5"/>
    </sheetView>
  </sheetViews>
  <sheetFormatPr defaultColWidth="14.44140625" defaultRowHeight="15" customHeight="1" x14ac:dyDescent="0.3"/>
  <cols>
    <col min="1" max="2" width="8.6640625" customWidth="1"/>
    <col min="3" max="3" width="12.109375" customWidth="1"/>
    <col min="4" max="4" width="12" customWidth="1"/>
    <col min="5" max="5" width="13.6640625" customWidth="1"/>
    <col min="6" max="6" width="12.88671875" customWidth="1"/>
    <col min="7" max="7" width="10" customWidth="1"/>
    <col min="8" max="8" width="12.109375" customWidth="1"/>
    <col min="9" max="10" width="8.6640625" customWidth="1"/>
    <col min="11" max="11" width="13.44140625" customWidth="1"/>
  </cols>
  <sheetData>
    <row r="5" spans="3:11" ht="14.4" x14ac:dyDescent="0.3">
      <c r="C5" s="2" t="s">
        <v>1</v>
      </c>
      <c r="D5" s="4" t="s">
        <v>3</v>
      </c>
      <c r="E5" s="4" t="s">
        <v>14</v>
      </c>
      <c r="F5" s="5" t="s">
        <v>6</v>
      </c>
      <c r="G5" s="7" t="s">
        <v>8</v>
      </c>
      <c r="H5" s="8" t="s">
        <v>13</v>
      </c>
      <c r="J5" s="4" t="s">
        <v>3</v>
      </c>
      <c r="K5" s="4" t="s">
        <v>14</v>
      </c>
    </row>
    <row r="6" spans="3:11" ht="14.4" x14ac:dyDescent="0.3">
      <c r="C6" s="10" t="s">
        <v>16</v>
      </c>
      <c r="D6" s="11" t="s">
        <v>20</v>
      </c>
      <c r="E6" s="11" t="e" vm="1">
        <f>VLOOKUP(D6,$J$6:$K$18,Xlookup!K4,FALSE)</f>
        <v>#VALUE!</v>
      </c>
      <c r="F6" s="13">
        <v>8</v>
      </c>
      <c r="G6" s="14">
        <v>1592</v>
      </c>
      <c r="H6" s="16">
        <v>562.77200000000005</v>
      </c>
      <c r="J6" s="17" t="s">
        <v>20</v>
      </c>
      <c r="K6" s="17" t="s">
        <v>22</v>
      </c>
    </row>
    <row r="7" spans="3:11" ht="14.4" x14ac:dyDescent="0.3">
      <c r="C7" s="19" t="s">
        <v>23</v>
      </c>
      <c r="D7" s="11" t="s">
        <v>26</v>
      </c>
      <c r="E7" s="11" t="str">
        <f t="shared" ref="E7:E18" si="0">VLOOKUP(D7,$J$6:$K$18,2,FALSE)</f>
        <v>Marketing</v>
      </c>
      <c r="F7" s="20">
        <v>8</v>
      </c>
      <c r="G7" s="21">
        <v>1088</v>
      </c>
      <c r="H7" s="22">
        <v>396.9024</v>
      </c>
      <c r="J7" s="17" t="s">
        <v>26</v>
      </c>
      <c r="K7" s="17" t="s">
        <v>34</v>
      </c>
    </row>
    <row r="8" spans="3:11" ht="14.4" x14ac:dyDescent="0.3">
      <c r="C8" s="10" t="s">
        <v>35</v>
      </c>
      <c r="D8" s="11" t="s">
        <v>37</v>
      </c>
      <c r="E8" s="11" t="str">
        <f t="shared" si="0"/>
        <v>Sales</v>
      </c>
      <c r="F8" s="13">
        <v>8</v>
      </c>
      <c r="G8" s="14">
        <v>1680</v>
      </c>
      <c r="H8" s="16">
        <v>752.64</v>
      </c>
      <c r="J8" s="17" t="s">
        <v>37</v>
      </c>
      <c r="K8" s="17" t="s">
        <v>22</v>
      </c>
    </row>
    <row r="9" spans="3:11" ht="14.4" x14ac:dyDescent="0.3">
      <c r="C9" s="19" t="s">
        <v>40</v>
      </c>
      <c r="D9" s="11" t="s">
        <v>41</v>
      </c>
      <c r="E9" s="11" t="str">
        <f t="shared" si="0"/>
        <v>Finance</v>
      </c>
      <c r="F9" s="20">
        <v>9</v>
      </c>
      <c r="G9" s="21">
        <v>2133</v>
      </c>
      <c r="H9" s="22">
        <v>922.73580000000004</v>
      </c>
      <c r="J9" s="17" t="s">
        <v>41</v>
      </c>
      <c r="K9" s="17" t="s">
        <v>43</v>
      </c>
    </row>
    <row r="10" spans="3:11" ht="14.4" x14ac:dyDescent="0.3">
      <c r="C10" s="10" t="s">
        <v>45</v>
      </c>
      <c r="D10" s="11" t="s">
        <v>47</v>
      </c>
      <c r="E10" s="11" t="str">
        <f t="shared" si="0"/>
        <v>Operations</v>
      </c>
      <c r="F10" s="13">
        <v>10</v>
      </c>
      <c r="G10" s="14">
        <v>1610</v>
      </c>
      <c r="H10" s="16">
        <v>579.11699999999996</v>
      </c>
      <c r="J10" s="17" t="s">
        <v>47</v>
      </c>
      <c r="K10" s="17" t="s">
        <v>49</v>
      </c>
    </row>
    <row r="11" spans="3:11" ht="14.4" x14ac:dyDescent="0.3">
      <c r="C11" s="19" t="s">
        <v>50</v>
      </c>
      <c r="D11" s="11" t="s">
        <v>51</v>
      </c>
      <c r="E11" s="11" t="str">
        <f t="shared" si="0"/>
        <v>Sales</v>
      </c>
      <c r="F11" s="20">
        <v>10</v>
      </c>
      <c r="G11" s="21">
        <v>1540</v>
      </c>
      <c r="H11" s="22">
        <v>569.79999999999995</v>
      </c>
      <c r="J11" s="17" t="s">
        <v>51</v>
      </c>
      <c r="K11" s="17" t="s">
        <v>22</v>
      </c>
    </row>
    <row r="12" spans="3:11" ht="14.4" x14ac:dyDescent="0.3">
      <c r="C12" s="10" t="s">
        <v>54</v>
      </c>
      <c r="D12" s="11" t="s">
        <v>55</v>
      </c>
      <c r="E12" s="11" t="str">
        <f t="shared" si="0"/>
        <v>Marketing</v>
      </c>
      <c r="F12" s="13">
        <v>7</v>
      </c>
      <c r="G12" s="14">
        <v>1316</v>
      </c>
      <c r="H12" s="16">
        <v>427.5684</v>
      </c>
      <c r="J12" s="17" t="s">
        <v>55</v>
      </c>
      <c r="K12" s="17" t="s">
        <v>34</v>
      </c>
    </row>
    <row r="13" spans="3:11" ht="14.4" x14ac:dyDescent="0.3">
      <c r="C13" s="19" t="s">
        <v>57</v>
      </c>
      <c r="D13" s="11" t="s">
        <v>58</v>
      </c>
      <c r="E13" s="11" t="str">
        <f t="shared" si="0"/>
        <v>Finance</v>
      </c>
      <c r="F13" s="20">
        <v>7</v>
      </c>
      <c r="G13" s="21">
        <v>1799</v>
      </c>
      <c r="H13" s="22">
        <v>708.80600000000004</v>
      </c>
      <c r="J13" s="17" t="s">
        <v>58</v>
      </c>
      <c r="K13" s="17" t="s">
        <v>43</v>
      </c>
    </row>
    <row r="14" spans="3:11" ht="14.4" x14ac:dyDescent="0.3">
      <c r="C14" s="10" t="s">
        <v>61</v>
      </c>
      <c r="D14" s="11" t="s">
        <v>62</v>
      </c>
      <c r="E14" s="11" t="str">
        <f t="shared" si="0"/>
        <v>Operations</v>
      </c>
      <c r="F14" s="13">
        <v>8</v>
      </c>
      <c r="G14" s="14">
        <v>1624</v>
      </c>
      <c r="H14" s="16">
        <v>621.3424</v>
      </c>
      <c r="J14" s="17" t="s">
        <v>62</v>
      </c>
      <c r="K14" s="17" t="s">
        <v>49</v>
      </c>
    </row>
    <row r="15" spans="3:11" ht="14.4" x14ac:dyDescent="0.3">
      <c r="C15" s="19" t="s">
        <v>65</v>
      </c>
      <c r="D15" s="11" t="s">
        <v>67</v>
      </c>
      <c r="E15" s="11" t="str">
        <f t="shared" si="0"/>
        <v>Sales</v>
      </c>
      <c r="F15" s="20">
        <v>6</v>
      </c>
      <c r="G15" s="21">
        <v>726</v>
      </c>
      <c r="H15" s="22">
        <v>235.87739999999999</v>
      </c>
      <c r="J15" s="17" t="s">
        <v>67</v>
      </c>
      <c r="K15" s="17" t="s">
        <v>22</v>
      </c>
    </row>
    <row r="16" spans="3:11" ht="14.4" x14ac:dyDescent="0.3">
      <c r="C16" s="10" t="s">
        <v>68</v>
      </c>
      <c r="D16" s="11" t="s">
        <v>69</v>
      </c>
      <c r="E16" s="11" t="str">
        <f t="shared" si="0"/>
        <v>Marketing</v>
      </c>
      <c r="F16" s="13">
        <v>9</v>
      </c>
      <c r="G16" s="14">
        <v>2277</v>
      </c>
      <c r="H16" s="16">
        <v>965.67570000000001</v>
      </c>
      <c r="J16" s="17" t="s">
        <v>69</v>
      </c>
      <c r="K16" s="17" t="s">
        <v>34</v>
      </c>
    </row>
    <row r="17" spans="3:11" ht="14.4" x14ac:dyDescent="0.3">
      <c r="C17" s="19" t="s">
        <v>73</v>
      </c>
      <c r="D17" s="11" t="s">
        <v>74</v>
      </c>
      <c r="E17" s="11" t="str">
        <f t="shared" si="0"/>
        <v>Finance</v>
      </c>
      <c r="F17" s="20">
        <v>6</v>
      </c>
      <c r="G17" s="21">
        <v>714</v>
      </c>
      <c r="H17" s="22">
        <v>220.983</v>
      </c>
      <c r="J17" s="17" t="s">
        <v>74</v>
      </c>
      <c r="K17" s="17" t="s">
        <v>43</v>
      </c>
    </row>
    <row r="18" spans="3:11" ht="14.4" x14ac:dyDescent="0.3">
      <c r="C18" s="23" t="s">
        <v>76</v>
      </c>
      <c r="D18" s="11" t="s">
        <v>79</v>
      </c>
      <c r="E18" s="11" t="str">
        <f t="shared" si="0"/>
        <v>Operations</v>
      </c>
      <c r="F18" s="24">
        <v>9</v>
      </c>
      <c r="G18" s="25">
        <v>2682</v>
      </c>
      <c r="H18" s="26">
        <v>1023.183</v>
      </c>
      <c r="J18" s="17" t="s">
        <v>79</v>
      </c>
      <c r="K18" s="17" t="s">
        <v>49</v>
      </c>
    </row>
    <row r="20" spans="3:11" ht="14.4" x14ac:dyDescent="0.3">
      <c r="J20" s="1" t="s">
        <v>85</v>
      </c>
    </row>
    <row r="21" spans="3:11" ht="15.75" customHeight="1" x14ac:dyDescent="0.3"/>
    <row r="22" spans="3:11" ht="15.75" customHeight="1" x14ac:dyDescent="0.3"/>
    <row r="23" spans="3:11" ht="15.75" customHeight="1" x14ac:dyDescent="0.3"/>
    <row r="24" spans="3:11" ht="15.75" customHeight="1" x14ac:dyDescent="0.3"/>
    <row r="25" spans="3:11" ht="15.75" customHeight="1" x14ac:dyDescent="0.3"/>
    <row r="26" spans="3:11" ht="15.75" customHeight="1" x14ac:dyDescent="0.3"/>
    <row r="27" spans="3:11" ht="15.75" customHeight="1" x14ac:dyDescent="0.3"/>
    <row r="28" spans="3:11" ht="15.75" customHeight="1" x14ac:dyDescent="0.3"/>
    <row r="29" spans="3:11" ht="15.75" customHeight="1" x14ac:dyDescent="0.3"/>
    <row r="30" spans="3:11" ht="15.75" customHeight="1" x14ac:dyDescent="0.3"/>
    <row r="31" spans="3:11" ht="15.75" customHeight="1" x14ac:dyDescent="0.3"/>
    <row r="32" spans="3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tabSelected="1" workbookViewId="0">
      <selection activeCell="K5" sqref="K5"/>
    </sheetView>
  </sheetViews>
  <sheetFormatPr defaultColWidth="14.44140625" defaultRowHeight="15" customHeight="1" x14ac:dyDescent="0.3"/>
  <cols>
    <col min="1" max="1" width="8.6640625" customWidth="1"/>
    <col min="2" max="2" width="20.5546875" customWidth="1"/>
    <col min="3" max="3" width="11.88671875" customWidth="1"/>
    <col min="4" max="4" width="8.6640625" customWidth="1"/>
    <col min="5" max="5" width="22" customWidth="1"/>
    <col min="6" max="6" width="11.44140625" customWidth="1"/>
    <col min="7" max="7" width="19.88671875" customWidth="1"/>
    <col min="8" max="8" width="9" customWidth="1"/>
    <col min="9" max="9" width="8.44140625" customWidth="1"/>
    <col min="10" max="10" width="8.6640625" customWidth="1"/>
    <col min="11" max="11" width="10.5546875" style="30" customWidth="1"/>
    <col min="12" max="12" width="19.44140625" customWidth="1"/>
    <col min="13" max="13" width="10.88671875" customWidth="1"/>
    <col min="14" max="14" width="19.88671875" customWidth="1"/>
  </cols>
  <sheetData>
    <row r="2" spans="2:14" ht="14.4" x14ac:dyDescent="0.3">
      <c r="K2" s="27" t="s">
        <v>0</v>
      </c>
    </row>
    <row r="3" spans="2:14" ht="14.4" x14ac:dyDescent="0.3">
      <c r="B3" s="3" t="s">
        <v>2</v>
      </c>
      <c r="C3" s="3" t="s">
        <v>3</v>
      </c>
      <c r="D3" s="3" t="s">
        <v>4</v>
      </c>
      <c r="E3" s="3" t="s">
        <v>5</v>
      </c>
      <c r="F3" s="6" t="s">
        <v>7</v>
      </c>
      <c r="G3" s="3" t="s">
        <v>9</v>
      </c>
      <c r="H3" s="3" t="s">
        <v>10</v>
      </c>
      <c r="I3" s="3" t="s">
        <v>11</v>
      </c>
      <c r="K3" s="28" t="s">
        <v>12</v>
      </c>
      <c r="M3" s="4" t="s">
        <v>12</v>
      </c>
      <c r="N3" s="4" t="s">
        <v>9</v>
      </c>
    </row>
    <row r="4" spans="2:14" ht="14.4" x14ac:dyDescent="0.3">
      <c r="B4" s="9" t="s">
        <v>15</v>
      </c>
      <c r="C4" s="9" t="s">
        <v>17</v>
      </c>
      <c r="D4" s="9" t="s">
        <v>18</v>
      </c>
      <c r="E4" s="9" t="s">
        <v>19</v>
      </c>
      <c r="F4" s="12">
        <v>44724</v>
      </c>
      <c r="G4" s="9" t="s">
        <v>21</v>
      </c>
      <c r="H4" s="15">
        <v>51300</v>
      </c>
      <c r="I4" s="9">
        <v>26</v>
      </c>
      <c r="K4" s="29">
        <f>_xlfn.XLOOKUP(G4,$N$4:$N$13,$M$4:$M$13)</f>
        <v>0.06</v>
      </c>
      <c r="M4" s="18">
        <v>0.06</v>
      </c>
      <c r="N4" s="17" t="s">
        <v>21</v>
      </c>
    </row>
    <row r="5" spans="2:14" ht="14.4" x14ac:dyDescent="0.3">
      <c r="B5" s="9" t="s">
        <v>24</v>
      </c>
      <c r="C5" s="9" t="s">
        <v>25</v>
      </c>
      <c r="D5" s="9" t="s">
        <v>27</v>
      </c>
      <c r="E5" s="9" t="s">
        <v>28</v>
      </c>
      <c r="F5" s="12">
        <v>44975</v>
      </c>
      <c r="G5" s="9" t="s">
        <v>29</v>
      </c>
      <c r="H5" s="15">
        <v>38300</v>
      </c>
      <c r="I5" s="9">
        <v>32.700000000000003</v>
      </c>
      <c r="K5" s="29">
        <f t="shared" ref="K5:K38" si="0">_xlfn.XLOOKUP(G5,$N$4:$N$13,$M$4:$M$13)</f>
        <v>0.03</v>
      </c>
      <c r="M5" s="18">
        <v>0.03</v>
      </c>
      <c r="N5" s="17" t="s">
        <v>29</v>
      </c>
    </row>
    <row r="6" spans="2:14" ht="14.4" x14ac:dyDescent="0.3">
      <c r="B6" s="9" t="s">
        <v>30</v>
      </c>
      <c r="C6" s="9" t="s">
        <v>31</v>
      </c>
      <c r="D6" s="9" t="s">
        <v>18</v>
      </c>
      <c r="E6" s="9" t="s">
        <v>32</v>
      </c>
      <c r="F6" s="12">
        <v>45540</v>
      </c>
      <c r="G6" s="9" t="s">
        <v>33</v>
      </c>
      <c r="H6" s="15">
        <v>31400</v>
      </c>
      <c r="I6" s="9">
        <v>34.299999999999997</v>
      </c>
      <c r="K6" s="29">
        <f t="shared" si="0"/>
        <v>0.03</v>
      </c>
      <c r="M6" s="18">
        <v>0.03</v>
      </c>
      <c r="N6" s="17" t="s">
        <v>33</v>
      </c>
    </row>
    <row r="7" spans="2:14" ht="14.4" x14ac:dyDescent="0.3">
      <c r="B7" s="9" t="s">
        <v>36</v>
      </c>
      <c r="C7" s="9" t="s">
        <v>38</v>
      </c>
      <c r="D7" s="9" t="s">
        <v>18</v>
      </c>
      <c r="E7" s="9" t="s">
        <v>19</v>
      </c>
      <c r="F7" s="12">
        <v>44520</v>
      </c>
      <c r="G7" s="9" t="s">
        <v>39</v>
      </c>
      <c r="H7" s="15">
        <v>60700</v>
      </c>
      <c r="I7" s="9">
        <v>29.6</v>
      </c>
      <c r="K7" s="29">
        <f t="shared" si="0"/>
        <v>7.0000000000000007E-2</v>
      </c>
      <c r="M7" s="18">
        <v>7.0000000000000007E-2</v>
      </c>
      <c r="N7" s="17" t="s">
        <v>39</v>
      </c>
    </row>
    <row r="8" spans="2:14" ht="14.4" x14ac:dyDescent="0.3">
      <c r="B8" s="9" t="s">
        <v>42</v>
      </c>
      <c r="C8" s="9" t="s">
        <v>44</v>
      </c>
      <c r="D8" s="9" t="s">
        <v>27</v>
      </c>
      <c r="E8" s="9" t="s">
        <v>46</v>
      </c>
      <c r="F8" s="12">
        <v>43929</v>
      </c>
      <c r="G8" s="9" t="s">
        <v>48</v>
      </c>
      <c r="H8" s="15">
        <v>77300</v>
      </c>
      <c r="I8" s="9">
        <v>30.3</v>
      </c>
      <c r="K8" s="29">
        <f t="shared" si="0"/>
        <v>0.08</v>
      </c>
      <c r="M8" s="18">
        <v>0.08</v>
      </c>
      <c r="N8" s="17" t="s">
        <v>48</v>
      </c>
    </row>
    <row r="9" spans="2:14" ht="14.4" x14ac:dyDescent="0.3">
      <c r="B9" s="9" t="s">
        <v>52</v>
      </c>
      <c r="C9" s="9" t="s">
        <v>53</v>
      </c>
      <c r="D9" s="9" t="s">
        <v>27</v>
      </c>
      <c r="E9" s="9" t="s">
        <v>19</v>
      </c>
      <c r="F9" s="12">
        <v>45730</v>
      </c>
      <c r="G9" s="9" t="s">
        <v>56</v>
      </c>
      <c r="H9" s="15">
        <v>49800</v>
      </c>
      <c r="I9" s="9">
        <v>37.700000000000003</v>
      </c>
      <c r="K9" s="29">
        <f t="shared" si="0"/>
        <v>0.05</v>
      </c>
      <c r="M9" s="18">
        <v>0.05</v>
      </c>
      <c r="N9" s="17" t="s">
        <v>56</v>
      </c>
    </row>
    <row r="10" spans="2:14" ht="14.4" x14ac:dyDescent="0.3">
      <c r="B10" s="9" t="s">
        <v>59</v>
      </c>
      <c r="C10" s="9" t="s">
        <v>60</v>
      </c>
      <c r="D10" s="9" t="s">
        <v>18</v>
      </c>
      <c r="E10" s="9" t="s">
        <v>32</v>
      </c>
      <c r="F10" s="12">
        <v>45293</v>
      </c>
      <c r="G10" s="9" t="s">
        <v>29</v>
      </c>
      <c r="H10" s="15">
        <v>33000</v>
      </c>
      <c r="I10" s="9">
        <v>31.8</v>
      </c>
      <c r="K10" s="29">
        <f t="shared" si="0"/>
        <v>0.03</v>
      </c>
      <c r="M10" s="18">
        <v>0.04</v>
      </c>
      <c r="N10" s="17" t="s">
        <v>63</v>
      </c>
    </row>
    <row r="11" spans="2:14" ht="14.4" x14ac:dyDescent="0.3">
      <c r="B11" s="9" t="s">
        <v>64</v>
      </c>
      <c r="C11" s="9" t="s">
        <v>66</v>
      </c>
      <c r="D11" s="9" t="s">
        <v>27</v>
      </c>
      <c r="E11" s="9" t="s">
        <v>28</v>
      </c>
      <c r="F11" s="12">
        <v>44761</v>
      </c>
      <c r="G11" s="9" t="s">
        <v>63</v>
      </c>
      <c r="H11" s="15">
        <v>41900</v>
      </c>
      <c r="I11" s="9">
        <v>35.9</v>
      </c>
      <c r="K11" s="29">
        <f t="shared" si="0"/>
        <v>0.04</v>
      </c>
      <c r="M11" s="18">
        <v>0.06</v>
      </c>
      <c r="N11" s="17" t="s">
        <v>70</v>
      </c>
    </row>
    <row r="12" spans="2:14" ht="14.4" x14ac:dyDescent="0.3">
      <c r="B12" s="9" t="s">
        <v>71</v>
      </c>
      <c r="C12" s="9" t="s">
        <v>72</v>
      </c>
      <c r="D12" s="9" t="s">
        <v>18</v>
      </c>
      <c r="E12" s="9" t="s">
        <v>19</v>
      </c>
      <c r="F12" s="12">
        <v>45240</v>
      </c>
      <c r="G12" s="9" t="s">
        <v>70</v>
      </c>
      <c r="H12" s="15">
        <v>58100</v>
      </c>
      <c r="I12" s="9">
        <v>31</v>
      </c>
      <c r="K12" s="29">
        <f t="shared" si="0"/>
        <v>0.06</v>
      </c>
      <c r="M12" s="18">
        <v>0.09</v>
      </c>
      <c r="N12" s="17" t="s">
        <v>75</v>
      </c>
    </row>
    <row r="13" spans="2:14" ht="14.4" x14ac:dyDescent="0.3">
      <c r="B13" s="9" t="s">
        <v>77</v>
      </c>
      <c r="C13" s="9" t="s">
        <v>78</v>
      </c>
      <c r="D13" s="9" t="s">
        <v>18</v>
      </c>
      <c r="E13" s="9" t="s">
        <v>46</v>
      </c>
      <c r="F13" s="12">
        <v>44372</v>
      </c>
      <c r="G13" s="9" t="s">
        <v>75</v>
      </c>
      <c r="H13" s="15">
        <v>82900</v>
      </c>
      <c r="I13" s="9">
        <v>31.1</v>
      </c>
      <c r="K13" s="29">
        <f t="shared" si="0"/>
        <v>0.09</v>
      </c>
      <c r="M13" s="18">
        <v>0.08</v>
      </c>
      <c r="N13" s="17" t="s">
        <v>80</v>
      </c>
    </row>
    <row r="14" spans="2:14" ht="14.4" x14ac:dyDescent="0.3">
      <c r="B14" s="9" t="s">
        <v>81</v>
      </c>
      <c r="C14" s="9" t="s">
        <v>82</v>
      </c>
      <c r="D14" s="9" t="s">
        <v>18</v>
      </c>
      <c r="E14" s="9" t="s">
        <v>32</v>
      </c>
      <c r="F14" s="12">
        <v>45508</v>
      </c>
      <c r="G14" s="9" t="s">
        <v>33</v>
      </c>
      <c r="H14" s="15">
        <v>28900</v>
      </c>
      <c r="I14" s="9">
        <v>30.3</v>
      </c>
      <c r="K14" s="29">
        <f t="shared" si="0"/>
        <v>0.03</v>
      </c>
    </row>
    <row r="15" spans="2:14" ht="14.4" x14ac:dyDescent="0.3">
      <c r="B15" s="9" t="s">
        <v>83</v>
      </c>
      <c r="C15" s="9" t="s">
        <v>84</v>
      </c>
      <c r="D15" s="9" t="s">
        <v>18</v>
      </c>
      <c r="E15" s="9" t="s">
        <v>28</v>
      </c>
      <c r="F15" s="12">
        <v>44609</v>
      </c>
      <c r="G15" s="9" t="s">
        <v>29</v>
      </c>
      <c r="H15" s="15">
        <v>37300</v>
      </c>
      <c r="I15" s="9">
        <v>35</v>
      </c>
      <c r="K15" s="29">
        <f t="shared" si="0"/>
        <v>0.03</v>
      </c>
      <c r="M15" s="1"/>
    </row>
    <row r="16" spans="2:14" ht="14.4" x14ac:dyDescent="0.3">
      <c r="B16" s="9" t="s">
        <v>86</v>
      </c>
      <c r="C16" s="9" t="s">
        <v>87</v>
      </c>
      <c r="D16" s="9" t="s">
        <v>18</v>
      </c>
      <c r="E16" s="9" t="s">
        <v>19</v>
      </c>
      <c r="F16" s="12">
        <v>45229</v>
      </c>
      <c r="G16" s="9" t="s">
        <v>21</v>
      </c>
      <c r="H16" s="15">
        <v>52700</v>
      </c>
      <c r="I16" s="9">
        <v>28.5</v>
      </c>
      <c r="K16" s="29">
        <f t="shared" si="0"/>
        <v>0.06</v>
      </c>
    </row>
    <row r="17" spans="2:11" ht="14.4" x14ac:dyDescent="0.3">
      <c r="B17" s="9" t="s">
        <v>88</v>
      </c>
      <c r="C17" s="9" t="s">
        <v>89</v>
      </c>
      <c r="D17" s="9" t="s">
        <v>27</v>
      </c>
      <c r="E17" s="9" t="s">
        <v>46</v>
      </c>
      <c r="F17" s="12">
        <v>44086</v>
      </c>
      <c r="G17" s="9" t="s">
        <v>80</v>
      </c>
      <c r="H17" s="15">
        <v>74700</v>
      </c>
      <c r="I17" s="9">
        <v>52.4</v>
      </c>
      <c r="K17" s="29">
        <f t="shared" si="0"/>
        <v>0.08</v>
      </c>
    </row>
    <row r="18" spans="2:11" ht="14.4" x14ac:dyDescent="0.3">
      <c r="B18" s="9" t="s">
        <v>90</v>
      </c>
      <c r="C18" s="9" t="s">
        <v>91</v>
      </c>
      <c r="D18" s="9" t="s">
        <v>18</v>
      </c>
      <c r="E18" s="9" t="s">
        <v>19</v>
      </c>
      <c r="F18" s="12">
        <v>44260</v>
      </c>
      <c r="G18" s="9" t="s">
        <v>70</v>
      </c>
      <c r="H18" s="15">
        <v>55600</v>
      </c>
      <c r="I18" s="9">
        <v>35.4</v>
      </c>
      <c r="K18" s="29">
        <f t="shared" si="0"/>
        <v>0.06</v>
      </c>
    </row>
    <row r="19" spans="2:11" ht="14.4" x14ac:dyDescent="0.3">
      <c r="B19" s="9" t="s">
        <v>92</v>
      </c>
      <c r="C19" s="9" t="s">
        <v>93</v>
      </c>
      <c r="D19" s="9" t="s">
        <v>18</v>
      </c>
      <c r="E19" s="9" t="s">
        <v>32</v>
      </c>
      <c r="F19" s="12">
        <v>45433</v>
      </c>
      <c r="G19" s="9" t="s">
        <v>33</v>
      </c>
      <c r="H19" s="15">
        <v>32900</v>
      </c>
      <c r="I19" s="9">
        <v>29.8</v>
      </c>
      <c r="K19" s="29">
        <f t="shared" si="0"/>
        <v>0.03</v>
      </c>
    </row>
    <row r="20" spans="2:11" ht="14.4" x14ac:dyDescent="0.3">
      <c r="B20" s="9" t="s">
        <v>94</v>
      </c>
      <c r="C20" s="9" t="s">
        <v>95</v>
      </c>
      <c r="D20" s="9" t="s">
        <v>27</v>
      </c>
      <c r="E20" s="9" t="s">
        <v>28</v>
      </c>
      <c r="F20" s="12">
        <v>45146</v>
      </c>
      <c r="G20" s="9" t="s">
        <v>63</v>
      </c>
      <c r="H20" s="15">
        <v>41500</v>
      </c>
      <c r="I20" s="9">
        <v>32.299999999999997</v>
      </c>
      <c r="K20" s="29">
        <f t="shared" si="0"/>
        <v>0.04</v>
      </c>
    </row>
    <row r="21" spans="2:11" ht="15.75" customHeight="1" x14ac:dyDescent="0.3">
      <c r="B21" s="9" t="s">
        <v>96</v>
      </c>
      <c r="C21" s="9" t="s">
        <v>97</v>
      </c>
      <c r="D21" s="9" t="s">
        <v>18</v>
      </c>
      <c r="E21" s="9" t="s">
        <v>19</v>
      </c>
      <c r="F21" s="12">
        <v>44888</v>
      </c>
      <c r="G21" s="9" t="s">
        <v>56</v>
      </c>
      <c r="H21" s="15">
        <v>49400</v>
      </c>
      <c r="I21" s="9">
        <v>31.1</v>
      </c>
      <c r="K21" s="29">
        <f t="shared" si="0"/>
        <v>0.05</v>
      </c>
    </row>
    <row r="22" spans="2:11" ht="15.75" customHeight="1" x14ac:dyDescent="0.3">
      <c r="B22" s="9" t="s">
        <v>98</v>
      </c>
      <c r="C22" s="9" t="s">
        <v>99</v>
      </c>
      <c r="D22" s="9" t="s">
        <v>18</v>
      </c>
      <c r="E22" s="9" t="s">
        <v>46</v>
      </c>
      <c r="F22" s="12">
        <v>43661</v>
      </c>
      <c r="G22" s="9" t="s">
        <v>75</v>
      </c>
      <c r="H22" s="15">
        <v>82700</v>
      </c>
      <c r="I22" s="9">
        <v>33.5</v>
      </c>
      <c r="K22" s="29">
        <f t="shared" si="0"/>
        <v>0.09</v>
      </c>
    </row>
    <row r="23" spans="2:11" ht="15.75" customHeight="1" x14ac:dyDescent="0.3">
      <c r="B23" s="9" t="s">
        <v>100</v>
      </c>
      <c r="C23" s="9" t="s">
        <v>101</v>
      </c>
      <c r="D23" s="9" t="s">
        <v>27</v>
      </c>
      <c r="E23" s="9" t="s">
        <v>32</v>
      </c>
      <c r="F23" s="12">
        <v>45381</v>
      </c>
      <c r="G23" s="9" t="s">
        <v>29</v>
      </c>
      <c r="H23" s="15">
        <v>38200</v>
      </c>
      <c r="I23" s="9">
        <v>31.1</v>
      </c>
      <c r="K23" s="29">
        <f t="shared" si="0"/>
        <v>0.03</v>
      </c>
    </row>
    <row r="24" spans="2:11" ht="15.75" customHeight="1" x14ac:dyDescent="0.3">
      <c r="B24" s="9" t="s">
        <v>102</v>
      </c>
      <c r="C24" s="9" t="s">
        <v>103</v>
      </c>
      <c r="D24" s="9" t="s">
        <v>18</v>
      </c>
      <c r="E24" s="9" t="s">
        <v>28</v>
      </c>
      <c r="F24" s="12">
        <v>44443</v>
      </c>
      <c r="G24" s="9" t="s">
        <v>33</v>
      </c>
      <c r="H24" s="15">
        <v>32600</v>
      </c>
      <c r="I24" s="9">
        <v>31.5</v>
      </c>
      <c r="K24" s="29">
        <f t="shared" si="0"/>
        <v>0.03</v>
      </c>
    </row>
    <row r="25" spans="2:11" ht="15.75" customHeight="1" x14ac:dyDescent="0.3">
      <c r="B25" s="9" t="s">
        <v>104</v>
      </c>
      <c r="C25" s="9" t="s">
        <v>105</v>
      </c>
      <c r="D25" s="9" t="s">
        <v>18</v>
      </c>
      <c r="E25" s="9" t="s">
        <v>19</v>
      </c>
      <c r="F25" s="12">
        <v>44001</v>
      </c>
      <c r="G25" s="9" t="s">
        <v>48</v>
      </c>
      <c r="H25" s="15">
        <v>76800</v>
      </c>
      <c r="I25" s="9">
        <v>32.700000000000003</v>
      </c>
      <c r="K25" s="29">
        <f t="shared" si="0"/>
        <v>0.08</v>
      </c>
    </row>
    <row r="26" spans="2:11" ht="15.75" customHeight="1" x14ac:dyDescent="0.3">
      <c r="B26" s="9" t="s">
        <v>106</v>
      </c>
      <c r="C26" s="9" t="s">
        <v>107</v>
      </c>
      <c r="D26" s="9" t="s">
        <v>18</v>
      </c>
      <c r="E26" s="9" t="s">
        <v>46</v>
      </c>
      <c r="F26" s="12">
        <v>44933</v>
      </c>
      <c r="G26" s="9" t="s">
        <v>39</v>
      </c>
      <c r="H26" s="15">
        <v>62300</v>
      </c>
      <c r="I26" s="9">
        <v>33.799999999999997</v>
      </c>
      <c r="K26" s="29">
        <f t="shared" si="0"/>
        <v>7.0000000000000007E-2</v>
      </c>
    </row>
    <row r="27" spans="2:11" ht="15.75" customHeight="1" x14ac:dyDescent="0.3">
      <c r="B27" s="9" t="s">
        <v>108</v>
      </c>
      <c r="C27" s="9" t="s">
        <v>109</v>
      </c>
      <c r="D27" s="9" t="s">
        <v>18</v>
      </c>
      <c r="E27" s="9" t="s">
        <v>19</v>
      </c>
      <c r="F27" s="12">
        <v>44798</v>
      </c>
      <c r="G27" s="9" t="s">
        <v>56</v>
      </c>
      <c r="H27" s="15">
        <v>46200</v>
      </c>
      <c r="I27" s="9">
        <v>30.1</v>
      </c>
      <c r="K27" s="29">
        <f t="shared" si="0"/>
        <v>0.05</v>
      </c>
    </row>
    <row r="28" spans="2:11" ht="15.75" customHeight="1" x14ac:dyDescent="0.3">
      <c r="B28" s="9" t="s">
        <v>110</v>
      </c>
      <c r="C28" s="9" t="s">
        <v>111</v>
      </c>
      <c r="D28" s="9" t="s">
        <v>27</v>
      </c>
      <c r="E28" s="9" t="s">
        <v>32</v>
      </c>
      <c r="F28" s="12">
        <v>45700</v>
      </c>
      <c r="G28" s="9" t="s">
        <v>33</v>
      </c>
      <c r="H28" s="15">
        <v>32500</v>
      </c>
      <c r="I28" s="9">
        <v>63.7</v>
      </c>
      <c r="K28" s="29">
        <f t="shared" si="0"/>
        <v>0.03</v>
      </c>
    </row>
    <row r="29" spans="2:11" ht="15.75" customHeight="1" x14ac:dyDescent="0.3">
      <c r="B29" s="9" t="s">
        <v>112</v>
      </c>
      <c r="C29" s="9" t="s">
        <v>113</v>
      </c>
      <c r="D29" s="9" t="s">
        <v>27</v>
      </c>
      <c r="E29" s="9" t="s">
        <v>28</v>
      </c>
      <c r="F29" s="12">
        <v>45597</v>
      </c>
      <c r="G29" s="9" t="s">
        <v>63</v>
      </c>
      <c r="H29" s="15">
        <v>43100</v>
      </c>
      <c r="I29" s="9">
        <v>33.799999999999997</v>
      </c>
      <c r="K29" s="29">
        <f t="shared" si="0"/>
        <v>0.04</v>
      </c>
    </row>
    <row r="30" spans="2:11" ht="15.75" customHeight="1" x14ac:dyDescent="0.3">
      <c r="B30" s="9" t="s">
        <v>114</v>
      </c>
      <c r="C30" s="9" t="s">
        <v>115</v>
      </c>
      <c r="D30" s="9" t="s">
        <v>27</v>
      </c>
      <c r="E30" s="9" t="s">
        <v>19</v>
      </c>
      <c r="F30" s="12">
        <v>44302</v>
      </c>
      <c r="G30" s="9" t="s">
        <v>70</v>
      </c>
      <c r="H30" s="15">
        <v>60000</v>
      </c>
      <c r="I30" s="9">
        <v>28.8</v>
      </c>
      <c r="K30" s="29">
        <f t="shared" si="0"/>
        <v>0.06</v>
      </c>
    </row>
    <row r="31" spans="2:11" ht="15.75" customHeight="1" x14ac:dyDescent="0.3">
      <c r="B31" s="9" t="s">
        <v>116</v>
      </c>
      <c r="C31" s="9" t="s">
        <v>117</v>
      </c>
      <c r="D31" s="9" t="s">
        <v>18</v>
      </c>
      <c r="E31" s="9" t="s">
        <v>46</v>
      </c>
      <c r="F31" s="12">
        <v>44113</v>
      </c>
      <c r="G31" s="9" t="s">
        <v>75</v>
      </c>
      <c r="H31" s="15">
        <v>82100</v>
      </c>
      <c r="I31" s="9">
        <v>32.700000000000003</v>
      </c>
      <c r="K31" s="29">
        <f t="shared" si="0"/>
        <v>0.09</v>
      </c>
    </row>
    <row r="32" spans="2:11" ht="15.75" customHeight="1" x14ac:dyDescent="0.3">
      <c r="B32" s="9" t="s">
        <v>118</v>
      </c>
      <c r="C32" s="9" t="s">
        <v>119</v>
      </c>
      <c r="D32" s="9" t="s">
        <v>18</v>
      </c>
      <c r="E32" s="9" t="s">
        <v>32</v>
      </c>
      <c r="F32" s="12">
        <v>45803</v>
      </c>
      <c r="G32" s="9" t="s">
        <v>29</v>
      </c>
      <c r="H32" s="15">
        <v>35900</v>
      </c>
      <c r="I32" s="9">
        <v>29.9</v>
      </c>
      <c r="K32" s="29">
        <f t="shared" si="0"/>
        <v>0.03</v>
      </c>
    </row>
    <row r="33" spans="2:11" ht="15.75" customHeight="1" x14ac:dyDescent="0.3">
      <c r="B33" s="9" t="s">
        <v>120</v>
      </c>
      <c r="C33" s="9" t="s">
        <v>121</v>
      </c>
      <c r="D33" s="9" t="s">
        <v>18</v>
      </c>
      <c r="E33" s="9" t="s">
        <v>28</v>
      </c>
      <c r="F33" s="12">
        <v>44574</v>
      </c>
      <c r="G33" s="9" t="s">
        <v>33</v>
      </c>
      <c r="H33" s="15">
        <v>31100</v>
      </c>
      <c r="I33" s="9">
        <v>27</v>
      </c>
      <c r="K33" s="29">
        <f t="shared" si="0"/>
        <v>0.03</v>
      </c>
    </row>
    <row r="34" spans="2:11" ht="15.75" customHeight="1" x14ac:dyDescent="0.3">
      <c r="B34" s="9" t="s">
        <v>122</v>
      </c>
      <c r="C34" s="9" t="s">
        <v>123</v>
      </c>
      <c r="D34" s="9" t="s">
        <v>18</v>
      </c>
      <c r="E34" s="9" t="s">
        <v>19</v>
      </c>
      <c r="F34" s="12">
        <v>44039</v>
      </c>
      <c r="G34" s="9" t="s">
        <v>80</v>
      </c>
      <c r="H34" s="15">
        <v>74200</v>
      </c>
      <c r="I34" s="9">
        <v>30.6</v>
      </c>
      <c r="K34" s="29">
        <f t="shared" si="0"/>
        <v>0.08</v>
      </c>
    </row>
    <row r="35" spans="2:11" ht="15.75" customHeight="1" x14ac:dyDescent="0.3">
      <c r="B35" s="9" t="s">
        <v>124</v>
      </c>
      <c r="C35" s="9" t="s">
        <v>125</v>
      </c>
      <c r="D35" s="9" t="s">
        <v>18</v>
      </c>
      <c r="E35" s="9" t="s">
        <v>46</v>
      </c>
      <c r="F35" s="12">
        <v>44269</v>
      </c>
      <c r="G35" s="9" t="s">
        <v>70</v>
      </c>
      <c r="H35" s="15">
        <v>57100</v>
      </c>
      <c r="I35" s="9">
        <v>28.7</v>
      </c>
      <c r="K35" s="29">
        <f t="shared" si="0"/>
        <v>0.06</v>
      </c>
    </row>
    <row r="36" spans="2:11" ht="15.75" customHeight="1" x14ac:dyDescent="0.3">
      <c r="B36" s="9" t="s">
        <v>126</v>
      </c>
      <c r="C36" s="9" t="s">
        <v>127</v>
      </c>
      <c r="D36" s="9" t="s">
        <v>18</v>
      </c>
      <c r="E36" s="9" t="s">
        <v>32</v>
      </c>
      <c r="F36" s="12">
        <v>45563</v>
      </c>
      <c r="G36" s="9" t="s">
        <v>33</v>
      </c>
      <c r="H36" s="15">
        <v>35200</v>
      </c>
      <c r="I36" s="9">
        <v>33.700000000000003</v>
      </c>
      <c r="K36" s="29">
        <f t="shared" si="0"/>
        <v>0.03</v>
      </c>
    </row>
    <row r="37" spans="2:11" ht="15.75" customHeight="1" x14ac:dyDescent="0.3">
      <c r="B37" s="9" t="s">
        <v>128</v>
      </c>
      <c r="C37" s="9" t="s">
        <v>129</v>
      </c>
      <c r="D37" s="9" t="s">
        <v>18</v>
      </c>
      <c r="E37" s="9" t="s">
        <v>28</v>
      </c>
      <c r="F37" s="12">
        <v>45027</v>
      </c>
      <c r="G37" s="9" t="s">
        <v>63</v>
      </c>
      <c r="H37" s="15">
        <v>42800</v>
      </c>
      <c r="I37" s="9">
        <v>31.2</v>
      </c>
      <c r="K37" s="29">
        <f t="shared" si="0"/>
        <v>0.04</v>
      </c>
    </row>
    <row r="38" spans="2:11" ht="15.75" customHeight="1" x14ac:dyDescent="0.3">
      <c r="B38" s="9" t="s">
        <v>130</v>
      </c>
      <c r="C38" s="9" t="s">
        <v>131</v>
      </c>
      <c r="D38" s="9" t="s">
        <v>18</v>
      </c>
      <c r="E38" s="9" t="s">
        <v>19</v>
      </c>
      <c r="F38" s="12">
        <v>44587</v>
      </c>
      <c r="G38" s="9" t="s">
        <v>56</v>
      </c>
      <c r="H38" s="15">
        <v>46900</v>
      </c>
      <c r="I38" s="9">
        <v>34.9</v>
      </c>
      <c r="K38" s="29">
        <f t="shared" si="0"/>
        <v>0.05</v>
      </c>
    </row>
    <row r="39" spans="2:11" ht="15.75" customHeight="1" x14ac:dyDescent="0.3"/>
    <row r="40" spans="2:11" ht="15.75" customHeight="1" x14ac:dyDescent="0.3"/>
    <row r="41" spans="2:11" ht="15.75" customHeight="1" x14ac:dyDescent="0.3"/>
    <row r="42" spans="2:11" ht="15.75" customHeight="1" x14ac:dyDescent="0.3"/>
    <row r="43" spans="2:11" ht="15.75" customHeight="1" x14ac:dyDescent="0.3"/>
    <row r="44" spans="2:11" ht="15.75" customHeight="1" x14ac:dyDescent="0.3"/>
    <row r="45" spans="2:11" ht="15.75" customHeight="1" x14ac:dyDescent="0.3"/>
    <row r="46" spans="2:11" ht="15.75" customHeight="1" x14ac:dyDescent="0.3"/>
    <row r="47" spans="2:11" ht="15.75" customHeight="1" x14ac:dyDescent="0.3"/>
    <row r="48" spans="2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kumari</dc:creator>
  <cp:lastModifiedBy>Sanjeev K</cp:lastModifiedBy>
  <dcterms:created xsi:type="dcterms:W3CDTF">2026-09-25T06:58:55Z</dcterms:created>
  <dcterms:modified xsi:type="dcterms:W3CDTF">2026-10-06T16:28:25Z</dcterms:modified>
</cp:coreProperties>
</file>