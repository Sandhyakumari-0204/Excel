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18" documentId="13_ncr:1_{F31F5449-D5A7-45D2-A38D-64294FC33D9F}" xr6:coauthVersionLast="47" xr6:coauthVersionMax="47" xr10:uidLastSave="{DE7F0FC3-4B52-4837-81B1-DE01534EAE76}"/>
  <workbookProtection lockStructure="1"/>
  <bookViews>
    <workbookView xWindow="-108" yWindow="-108" windowWidth="23256" windowHeight="12456" xr2:uid="{683C4D0C-EC43-4BE6-A858-21080F1772BB}"/>
  </bookViews>
  <sheets>
    <sheet name="Executive_Dashboard" sheetId="7" r:id="rId1"/>
    <sheet name="Pivot_Analysis" sheetId="6" r:id="rId2"/>
    <sheet name="Sheet1" sheetId="9" state="hidden" r:id="rId3"/>
    <sheet name="Clean_Data_Warehouse" sheetId="5" r:id="rId4"/>
    <sheet name="Product_Catalog" sheetId="3" r:id="rId5"/>
    <sheet name="Master_Customer" sheetId="2" r:id="rId6"/>
    <sheet name="Raw_Order" sheetId="1" r:id="rId7"/>
  </sheets>
  <definedNames>
    <definedName name="ExternalData_1" localSheetId="3" hidden="1">Clean_Data_Warehouse!$A$1:$G$8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ster_Customer_cbc96c27-3493-4d3d-bbe4-ca79b4079c07" name="Master_Customer" connection="Query - Master_Customer"/>
          <x15:modelTable id="Product_Catalog_a8414b36-f1cd-4815-b679-ca1738d44785" name="Product_Catalog" connection="Query - Product_Catalo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" l="1"/>
  <c r="I7" i="5"/>
  <c r="J7" i="5" s="1"/>
  <c r="H8" i="5"/>
  <c r="I8" i="5"/>
  <c r="J8" i="5" s="1"/>
  <c r="I3" i="5"/>
  <c r="J3" i="5" s="1"/>
  <c r="I4" i="5"/>
  <c r="J4" i="5" s="1"/>
  <c r="I5" i="5"/>
  <c r="J5" i="5" s="1"/>
  <c r="I6" i="5"/>
  <c r="J6" i="5" s="1"/>
  <c r="I2" i="5"/>
  <c r="J2" i="5" s="1"/>
  <c r="H2" i="5"/>
  <c r="H3" i="5"/>
  <c r="H4" i="5"/>
  <c r="H5" i="5"/>
  <c r="H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0A0A38-B2FB-42BD-A46C-9997D540AFEA}" name="Query - Master_Customer" description="Connection to the 'Master_Customer' query in the workbook." type="100" refreshedVersion="8" minRefreshableVersion="5">
    <extLst>
      <ext xmlns:x15="http://schemas.microsoft.com/office/spreadsheetml/2010/11/main" uri="{DE250136-89BD-433C-8126-D09CA5730AF9}">
        <x15:connection id="67cc817d-28a9-48d9-9585-b477ceb71dbc">
          <x15:oledbPr connection="Provider=Microsoft.Mashup.OleDb.1;Data Source=$Workbook$;Location=Master_Customer;Extended Properties=&quot;&quot;">
            <x15:dbTables>
              <x15:dbTable name="Master_Customer"/>
            </x15:dbTables>
          </x15:oledbPr>
        </x15:connection>
      </ext>
    </extLst>
  </connection>
  <connection id="2" xr16:uid="{799B8CAA-58A1-4484-B9DC-B97ADBB9267B}" name="Query - Product_Catalog" description="Connection to the 'Product_Catalog' query in the workbook." type="100" refreshedVersion="8" minRefreshableVersion="5">
    <extLst>
      <ext xmlns:x15="http://schemas.microsoft.com/office/spreadsheetml/2010/11/main" uri="{DE250136-89BD-433C-8126-D09CA5730AF9}">
        <x15:connection id="8ce49408-da66-4ae8-b45d-0f485a8a10f7">
          <x15:oledbPr connection="Provider=Microsoft.Mashup.OleDb.1;Data Source=$Workbook$;Location=Product_Catalog;Extended Properties=&quot;&quot;">
            <x15:dbTables>
              <x15:dbTable name="Product_Catalog"/>
            </x15:dbTables>
          </x15:oledbPr>
        </x15:connection>
      </ext>
    </extLst>
  </connection>
  <connection id="3" xr16:uid="{16AAC910-E091-4580-8E8C-E4C815B583B9}" keepAlive="1" name="Query - Raw_Order" description="Connection to the 'Raw_Order' query in the workbook." type="5" refreshedVersion="8" background="1" saveData="1">
    <dbPr connection="Provider=Microsoft.Mashup.OleDb.1;Data Source=$Workbook$;Location=Raw_Order;Extended Properties=&quot;&quot;" command="SELECT * FROM [Raw_Order]"/>
  </connection>
  <connection id="4" xr16:uid="{BE3F6D10-DCA3-4C54-9603-A893A620944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<sst xmlns="http://schemas.openxmlformats.org/spreadsheetml/2006/main" count="116" uniqueCount="43">
  <si>
    <t>Sum of Gross Revenue</t>
  </si>
  <si>
    <t>Column Labels</t>
  </si>
  <si>
    <t>Row Labels</t>
  </si>
  <si>
    <t>High-Value</t>
  </si>
  <si>
    <t>low-value</t>
  </si>
  <si>
    <t>Standard</t>
  </si>
  <si>
    <t>Grand Total</t>
  </si>
  <si>
    <t>East</t>
  </si>
  <si>
    <t>Apex Systems</t>
  </si>
  <si>
    <t>North</t>
  </si>
  <si>
    <t>Acme Retail</t>
  </si>
  <si>
    <t>South</t>
  </si>
  <si>
    <t>Beacon Tech</t>
  </si>
  <si>
    <t>West</t>
  </si>
  <si>
    <t>Horizon Group</t>
  </si>
  <si>
    <t>Nexus Logistics</t>
  </si>
  <si>
    <t>Column1</t>
  </si>
  <si>
    <t>Column2</t>
  </si>
  <si>
    <t>Order_ID</t>
  </si>
  <si>
    <t>Customer_ID</t>
  </si>
  <si>
    <t>Product_Code</t>
  </si>
  <si>
    <t>Units_Sold</t>
  </si>
  <si>
    <t>Customer_Name</t>
  </si>
  <si>
    <t>Region</t>
  </si>
  <si>
    <t>Base_Price</t>
  </si>
  <si>
    <t>Product_code_mid</t>
  </si>
  <si>
    <t>Gross Revenue</t>
  </si>
  <si>
    <t>Order Tier</t>
  </si>
  <si>
    <t>TXN-101</t>
  </si>
  <si>
    <t>C-901</t>
  </si>
  <si>
    <t>PROD-9921-X</t>
  </si>
  <si>
    <t>TXN-103</t>
  </si>
  <si>
    <t>C-902</t>
  </si>
  <si>
    <t>TXN-104</t>
  </si>
  <si>
    <t>PROD-8815-S</t>
  </si>
  <si>
    <t>TXN-102</t>
  </si>
  <si>
    <t>C-904</t>
  </si>
  <si>
    <t>PROD-4012-M</t>
  </si>
  <si>
    <t>TXN-106</t>
  </si>
  <si>
    <t>TXN-105</t>
  </si>
  <si>
    <t>C-903</t>
  </si>
  <si>
    <t>TXN-107</t>
  </si>
  <si>
    <t>C-905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</si>
</sst>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Tw Cen MT"/>
      <family val="2"/>
      <scheme val="minor"/>
    </font>
    <font>
      <b/>
      <sz val="11"/>
      <color rgb="FF000000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BFE37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w Cen MT"/>
        <family val="2"/>
        <scheme val="minor"/>
      </font>
      <border diagonalUp="0" diagonalDown="0">
        <left/>
        <right/>
        <top/>
        <bottom style="thin">
          <color rgb="FFBFE37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w Cen MT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rgb="FFBFE373"/>
        </bottom>
        <vertical/>
        <horizontal/>
      </border>
    </dxf>
    <dxf>
      <border outline="0">
        <bottom style="thin">
          <color rgb="FFBFE373"/>
        </bottom>
      </border>
    </dxf>
    <dxf>
      <border outline="0">
        <bottom style="thin">
          <color rgb="FFBFE373"/>
        </bottom>
      </border>
    </dxf>
  </dxfs>
  <tableStyles count="1" defaultTableStyle="TableStyleMedium2" defaultPivotStyle="PivotStyleLight16">
    <tableStyle name="Invisible" pivot="0" table="0" count="0" xr9:uid="{7815A744-C1CA-4065-AC2B-917B10804E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Bookman Old Style" panose="02050604050505020204" pitchFamily="18" charset="0"/>
                <a:ea typeface="+mn-ea"/>
                <a:cs typeface="+mn-cs"/>
              </a:defRPr>
            </a:pPr>
            <a:r>
              <a:rPr lang="en-US" sz="2000" b="1">
                <a:solidFill>
                  <a:schemeClr val="accent1">
                    <a:lumMod val="75000"/>
                  </a:schemeClr>
                </a:solidFill>
                <a:latin typeface="Bookman Old Style" panose="02050604050505020204" pitchFamily="18" charset="0"/>
              </a:rPr>
              <a:t>Revenue</a:t>
            </a:r>
            <a:r>
              <a:rPr lang="en-US" sz="2000" b="1" baseline="0">
                <a:solidFill>
                  <a:schemeClr val="accent1">
                    <a:lumMod val="75000"/>
                  </a:schemeClr>
                </a:solidFill>
                <a:latin typeface="Bookman Old Style" panose="02050604050505020204" pitchFamily="18" charset="0"/>
              </a:rPr>
              <a:t> Performance by Region</a:t>
            </a:r>
            <a:endParaRPr lang="en-US" sz="2000" b="1">
              <a:solidFill>
                <a:schemeClr val="accent1">
                  <a:lumMod val="75000"/>
                </a:schemeClr>
              </a:solidFill>
              <a:latin typeface="Bookman Old Style" panose="020506040505050202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Bookman Old Style" panose="020506040505050202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Column2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Sheet1!$D$4:$D$7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Sheet1!$E$4:$E$7</c:f>
              <c:numCache>
                <c:formatCode>General</c:formatCode>
                <c:ptCount val="4"/>
                <c:pt idx="0">
                  <c:v>45</c:v>
                </c:pt>
                <c:pt idx="1">
                  <c:v>1430</c:v>
                </c:pt>
                <c:pt idx="2">
                  <c:v>540</c:v>
                </c:pt>
                <c:pt idx="3">
                  <c:v>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C-474B-BF09-1223C8C7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287216"/>
        <c:axId val="556683472"/>
      </c:barChart>
      <c:catAx>
        <c:axId val="58928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83472"/>
        <c:crosses val="autoZero"/>
        <c:auto val="1"/>
        <c:lblAlgn val="ctr"/>
        <c:lblOffset val="100"/>
        <c:noMultiLvlLbl val="0"/>
      </c:catAx>
      <c:valAx>
        <c:axId val="556683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28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</xdr:colOff>
      <xdr:row>0</xdr:row>
      <xdr:rowOff>144780</xdr:rowOff>
    </xdr:from>
    <xdr:ext cx="1036320" cy="2569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E03FF67-015A-5742-B4B3-5B042B5727F4}"/>
            </a:ext>
          </a:extLst>
        </xdr:cNvPr>
        <xdr:cNvSpPr txBox="1"/>
      </xdr:nvSpPr>
      <xdr:spPr>
        <a:xfrm>
          <a:off x="632460" y="144780"/>
          <a:ext cx="1036320" cy="2569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381000</xdr:colOff>
      <xdr:row>2</xdr:row>
      <xdr:rowOff>106680</xdr:rowOff>
    </xdr:from>
    <xdr:to>
      <xdr:col>13</xdr:col>
      <xdr:colOff>167640</xdr:colOff>
      <xdr:row>5</xdr:row>
      <xdr:rowOff>114300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6D30056-1602-4A1E-8EE1-22F2CE88ECCA}"/>
            </a:ext>
          </a:extLst>
        </xdr:cNvPr>
        <xdr:cNvSpPr/>
      </xdr:nvSpPr>
      <xdr:spPr>
        <a:xfrm>
          <a:off x="6477000" y="472440"/>
          <a:ext cx="1615440" cy="556260"/>
        </a:xfrm>
        <a:prstGeom prst="roundRect">
          <a:avLst/>
        </a:prstGeom>
        <a:solidFill>
          <a:schemeClr val="accent4"/>
        </a:solidFill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426720</xdr:colOff>
      <xdr:row>2</xdr:row>
      <xdr:rowOff>121920</xdr:rowOff>
    </xdr:from>
    <xdr:to>
      <xdr:col>10</xdr:col>
      <xdr:colOff>213360</xdr:colOff>
      <xdr:row>5</xdr:row>
      <xdr:rowOff>129540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29ACC2EC-E781-4FC6-80EF-25DE03A306B9}"/>
            </a:ext>
          </a:extLst>
        </xdr:cNvPr>
        <xdr:cNvSpPr/>
      </xdr:nvSpPr>
      <xdr:spPr>
        <a:xfrm>
          <a:off x="4693920" y="487680"/>
          <a:ext cx="1615440" cy="556260"/>
        </a:xfrm>
        <a:prstGeom prst="roundRect">
          <a:avLst/>
        </a:prstGeom>
        <a:solidFill>
          <a:schemeClr val="accent4"/>
        </a:solidFill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434340</xdr:colOff>
      <xdr:row>2</xdr:row>
      <xdr:rowOff>129540</xdr:rowOff>
    </xdr:from>
    <xdr:to>
      <xdr:col>7</xdr:col>
      <xdr:colOff>220980</xdr:colOff>
      <xdr:row>5</xdr:row>
      <xdr:rowOff>137160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DB7CF195-3DD8-4B82-8259-495856E5B60F}"/>
            </a:ext>
          </a:extLst>
        </xdr:cNvPr>
        <xdr:cNvSpPr/>
      </xdr:nvSpPr>
      <xdr:spPr>
        <a:xfrm>
          <a:off x="2872740" y="495300"/>
          <a:ext cx="1615440" cy="556260"/>
        </a:xfrm>
        <a:prstGeom prst="roundRect">
          <a:avLst/>
        </a:prstGeom>
        <a:solidFill>
          <a:schemeClr val="accent4"/>
        </a:solidFill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79786</xdr:colOff>
      <xdr:row>2</xdr:row>
      <xdr:rowOff>160020</xdr:rowOff>
    </xdr:from>
    <xdr:ext cx="1006109" cy="27218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56D29DC-76B3-2968-0FEF-0D06C9138E7A}"/>
            </a:ext>
          </a:extLst>
        </xdr:cNvPr>
        <xdr:cNvSpPr txBox="1"/>
      </xdr:nvSpPr>
      <xdr:spPr>
        <a:xfrm>
          <a:off x="3127786" y="626185"/>
          <a:ext cx="1006109" cy="272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100"/>
            <a:t>Total Revenue</a:t>
          </a:r>
        </a:p>
      </xdr:txBody>
    </xdr:sp>
    <xdr:clientData/>
  </xdr:oneCellAnchor>
  <xdr:oneCellAnchor>
    <xdr:from>
      <xdr:col>8</xdr:col>
      <xdr:colOff>45720</xdr:colOff>
      <xdr:row>3</xdr:row>
      <xdr:rowOff>5295</xdr:rowOff>
    </xdr:from>
    <xdr:ext cx="1054776" cy="24590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DC4E5EF-6100-134E-55B7-CA44CD3C4408}"/>
            </a:ext>
          </a:extLst>
        </xdr:cNvPr>
        <xdr:cNvSpPr txBox="1"/>
      </xdr:nvSpPr>
      <xdr:spPr>
        <a:xfrm>
          <a:off x="5424544" y="543177"/>
          <a:ext cx="1054776" cy="2459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n-US" sz="1100"/>
            <a:t>Total Units Sold</a:t>
          </a:r>
        </a:p>
      </xdr:txBody>
    </xdr:sp>
    <xdr:clientData/>
  </xdr:oneCellAnchor>
  <xdr:oneCellAnchor>
    <xdr:from>
      <xdr:col>11</xdr:col>
      <xdr:colOff>7620</xdr:colOff>
      <xdr:row>2</xdr:row>
      <xdr:rowOff>169349</xdr:rowOff>
    </xdr:from>
    <xdr:ext cx="1210524" cy="24590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AFE7DA2-D8F2-DF6D-15DA-D80CEDFDBA7A}"/>
            </a:ext>
          </a:extLst>
        </xdr:cNvPr>
        <xdr:cNvSpPr txBox="1"/>
      </xdr:nvSpPr>
      <xdr:spPr>
        <a:xfrm>
          <a:off x="7403502" y="527937"/>
          <a:ext cx="1210524" cy="2459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n-US" sz="1100"/>
            <a:t>Total</a:t>
          </a:r>
          <a:r>
            <a:rPr lang="en-US" sz="1100" baseline="0"/>
            <a:t> Order Count</a:t>
          </a:r>
          <a:endParaRPr lang="en-US" sz="1100"/>
        </a:p>
      </xdr:txBody>
    </xdr:sp>
    <xdr:clientData/>
  </xdr:oneCellAnchor>
  <xdr:oneCellAnchor>
    <xdr:from>
      <xdr:col>5</xdr:col>
      <xdr:colOff>312420</xdr:colOff>
      <xdr:row>4</xdr:row>
      <xdr:rowOff>0</xdr:rowOff>
    </xdr:from>
    <xdr:ext cx="216534" cy="272126"/>
    <xdr:sp macro="" textlink="Clean_Data_Warehouse!I17">
      <xdr:nvSpPr>
        <xdr:cNvPr id="23" name="TextBox 22">
          <a:extLst>
            <a:ext uri="{FF2B5EF4-FFF2-40B4-BE49-F238E27FC236}">
              <a16:creationId xmlns:a16="http://schemas.microsoft.com/office/drawing/2014/main" id="{890E9E51-4162-500D-F8F5-4214D28F4992}"/>
            </a:ext>
          </a:extLst>
        </xdr:cNvPr>
        <xdr:cNvSpPr txBox="1"/>
      </xdr:nvSpPr>
      <xdr:spPr>
        <a:xfrm>
          <a:off x="3674185" y="717176"/>
          <a:ext cx="216534" cy="272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4CDB2A3-65A9-44E9-A85C-E74B00B3F8A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en-US" sz="1100"/>
        </a:p>
      </xdr:txBody>
    </xdr:sp>
    <xdr:clientData/>
  </xdr:oneCellAnchor>
  <xdr:oneCellAnchor>
    <xdr:from>
      <xdr:col>8</xdr:col>
      <xdr:colOff>381000</xdr:colOff>
      <xdr:row>4</xdr:row>
      <xdr:rowOff>7620</xdr:rowOff>
    </xdr:from>
    <xdr:ext cx="327654" cy="416960"/>
    <xdr:sp macro="" textlink="Clean_Data_Warehouse!D11">
      <xdr:nvSpPr>
        <xdr:cNvPr id="24" name="TextBox 23">
          <a:extLst>
            <a:ext uri="{FF2B5EF4-FFF2-40B4-BE49-F238E27FC236}">
              <a16:creationId xmlns:a16="http://schemas.microsoft.com/office/drawing/2014/main" id="{9652632F-3785-58F6-8228-9FA8404732A1}"/>
            </a:ext>
          </a:extLst>
        </xdr:cNvPr>
        <xdr:cNvSpPr txBox="1"/>
      </xdr:nvSpPr>
      <xdr:spPr>
        <a:xfrm>
          <a:off x="5257800" y="739140"/>
          <a:ext cx="327654" cy="416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fld id="{36B855BB-9C16-44AA-A3B5-190B95CF3A7B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en-US" sz="1100"/>
        </a:p>
      </xdr:txBody>
    </xdr:sp>
    <xdr:clientData/>
  </xdr:oneCellAnchor>
  <xdr:oneCellAnchor>
    <xdr:from>
      <xdr:col>15</xdr:col>
      <xdr:colOff>220980</xdr:colOff>
      <xdr:row>10</xdr:row>
      <xdr:rowOff>7620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F54BAF3-E671-C085-1E9D-AAC9F8CF4BD7}"/>
            </a:ext>
          </a:extLst>
        </xdr:cNvPr>
        <xdr:cNvSpPr txBox="1"/>
      </xdr:nvSpPr>
      <xdr:spPr>
        <a:xfrm>
          <a:off x="9364980" y="18364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403860</xdr:colOff>
      <xdr:row>3</xdr:row>
      <xdr:rowOff>160020</xdr:rowOff>
    </xdr:from>
    <xdr:ext cx="256160" cy="2798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4BA7937-260B-9D06-5B03-79CA4CBE95A6}"/>
            </a:ext>
          </a:extLst>
        </xdr:cNvPr>
        <xdr:cNvSpPr txBox="1"/>
      </xdr:nvSpPr>
      <xdr:spPr>
        <a:xfrm>
          <a:off x="7109460" y="708660"/>
          <a:ext cx="256160" cy="279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7</a:t>
          </a:r>
        </a:p>
      </xdr:txBody>
    </xdr:sp>
    <xdr:clientData/>
  </xdr:oneCellAnchor>
  <xdr:oneCellAnchor>
    <xdr:from>
      <xdr:col>5</xdr:col>
      <xdr:colOff>308386</xdr:colOff>
      <xdr:row>3</xdr:row>
      <xdr:rowOff>140746</xdr:rowOff>
    </xdr:from>
    <xdr:ext cx="470642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0459021-1C47-104B-4EB7-7695479BFC85}"/>
            </a:ext>
          </a:extLst>
        </xdr:cNvPr>
        <xdr:cNvSpPr txBox="1"/>
      </xdr:nvSpPr>
      <xdr:spPr>
        <a:xfrm>
          <a:off x="3356386" y="839993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4190</a:t>
          </a:r>
        </a:p>
      </xdr:txBody>
    </xdr:sp>
    <xdr:clientData/>
  </xdr:oneCellAnchor>
  <xdr:oneCellAnchor>
    <xdr:from>
      <xdr:col>8</xdr:col>
      <xdr:colOff>411480</xdr:colOff>
      <xdr:row>3</xdr:row>
      <xdr:rowOff>167640</xdr:rowOff>
    </xdr:from>
    <xdr:ext cx="327654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627D7CA-C204-8F79-B129-B939F8EA8322}"/>
            </a:ext>
          </a:extLst>
        </xdr:cNvPr>
        <xdr:cNvSpPr txBox="1"/>
      </xdr:nvSpPr>
      <xdr:spPr>
        <a:xfrm>
          <a:off x="5288280" y="71628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47</a:t>
          </a:r>
        </a:p>
      </xdr:txBody>
    </xdr:sp>
    <xdr:clientData/>
  </xdr:oneCellAnchor>
  <xdr:twoCellAnchor>
    <xdr:from>
      <xdr:col>4</xdr:col>
      <xdr:colOff>466166</xdr:colOff>
      <xdr:row>6</xdr:row>
      <xdr:rowOff>170329</xdr:rowOff>
    </xdr:from>
    <xdr:to>
      <xdr:col>13</xdr:col>
      <xdr:colOff>188260</xdr:colOff>
      <xdr:row>33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89BB1C-7E5C-4EBD-AB4B-7528B7B5F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eev K" refreshedDate="46297.838655439817" createdVersion="8" refreshedVersion="8" minRefreshableVersion="3" recordCount="7" xr:uid="{B01F8274-7EE5-4AD2-A235-76BE487B4DE4}">
  <cacheSource type="worksheet">
    <worksheetSource name="Raw_Order_"/>
  </cacheSource>
  <cacheFields count="10">
    <cacheField name="Order_ID" numFmtId="0">
      <sharedItems/>
    </cacheField>
    <cacheField name="Customer_ID" numFmtId="0">
      <sharedItems/>
    </cacheField>
    <cacheField name="Product_Code" numFmtId="0">
      <sharedItems/>
    </cacheField>
    <cacheField name="Units_Sold" numFmtId="0">
      <sharedItems containsSemiMixedTypes="0" containsString="0" containsNumber="1" containsInteger="1" minValue="1" maxValue="15"/>
    </cacheField>
    <cacheField name="Customer_Name" numFmtId="0">
      <sharedItems count="5">
        <s v="Acme Retail"/>
        <s v="Nexus Logistics"/>
        <s v="Beacon Tech"/>
        <s v="Apex Systems"/>
        <s v="Horizon Group"/>
      </sharedItems>
    </cacheField>
    <cacheField name="Region" numFmtId="0">
      <sharedItems count="4">
        <s v="North"/>
        <s v="West"/>
        <s v="South"/>
        <s v="East"/>
      </sharedItems>
    </cacheField>
    <cacheField name="Base_Price" numFmtId="0">
      <sharedItems containsSemiMixedTypes="0" containsString="0" containsNumber="1" containsInteger="1" minValue="45" maxValue="150"/>
    </cacheField>
    <cacheField name="Product_code_mid" numFmtId="0">
      <sharedItems count="3">
        <s v="9921"/>
        <s v="8815"/>
        <s v="4012"/>
      </sharedItems>
    </cacheField>
    <cacheField name="Gross Revenue" numFmtId="0">
      <sharedItems containsSemiMixedTypes="0" containsString="0" containsNumber="1" containsInteger="1" minValue="45" maxValue="1275"/>
    </cacheField>
    <cacheField name="Order Tier" numFmtId="0">
      <sharedItems count="3">
        <s v="Standard"/>
        <s v="High-Value"/>
        <s v="low-value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TXN-101"/>
    <s v="C-901"/>
    <s v="PROD-9921-X"/>
    <n v="5"/>
    <x v="0"/>
    <x v="0"/>
    <n v="150"/>
    <x v="0"/>
    <n v="750"/>
    <x v="0"/>
  </r>
  <r>
    <s v="TXN-103"/>
    <s v="C-902"/>
    <s v="PROD-9921-X"/>
    <n v="2"/>
    <x v="1"/>
    <x v="1"/>
    <n v="150"/>
    <x v="0"/>
    <n v="300"/>
    <x v="0"/>
  </r>
  <r>
    <s v="TXN-104"/>
    <s v="C-901"/>
    <s v="PROD-8815-S"/>
    <n v="8"/>
    <x v="0"/>
    <x v="0"/>
    <n v="85"/>
    <x v="1"/>
    <n v="680"/>
    <x v="0"/>
  </r>
  <r>
    <s v="TXN-102"/>
    <s v="C-904"/>
    <s v="PROD-4012-M"/>
    <n v="12"/>
    <x v="2"/>
    <x v="2"/>
    <n v="45"/>
    <x v="2"/>
    <n v="540"/>
    <x v="0"/>
  </r>
  <r>
    <s v="TXN-106"/>
    <s v="C-902"/>
    <s v="PROD-8815-S"/>
    <n v="15"/>
    <x v="1"/>
    <x v="1"/>
    <n v="85"/>
    <x v="1"/>
    <n v="1275"/>
    <x v="1"/>
  </r>
  <r>
    <s v="TXN-105"/>
    <s v="C-903"/>
    <s v="PROD-4012-M"/>
    <n v="1"/>
    <x v="3"/>
    <x v="3"/>
    <n v="45"/>
    <x v="2"/>
    <n v="45"/>
    <x v="2"/>
  </r>
  <r>
    <s v="TXN-107"/>
    <s v="C-905"/>
    <s v="PROD-9921-X"/>
    <n v="4"/>
    <x v="4"/>
    <x v="1"/>
    <n v="150"/>
    <x v="0"/>
    <n v="6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846BD-B433-4E3C-9914-624EAAA0D5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3">
  <location ref="A3:E14" firstHeaderRow="1" firstDataRow="2" firstDataCol="1"/>
  <pivotFields count="10"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dataField="1" showAll="0"/>
    <pivotField axis="axisCol" showAll="0">
      <items count="4">
        <item x="1"/>
        <item x="2"/>
        <item x="0"/>
        <item t="default"/>
      </items>
    </pivotField>
  </pivotFields>
  <rowFields count="2">
    <field x="5"/>
    <field x="4"/>
  </rowFields>
  <rowItems count="10">
    <i>
      <x/>
    </i>
    <i r="1">
      <x v="1"/>
    </i>
    <i>
      <x v="1"/>
    </i>
    <i r="1">
      <x/>
    </i>
    <i>
      <x v="2"/>
    </i>
    <i r="1">
      <x v="2"/>
    </i>
    <i>
      <x v="3"/>
    </i>
    <i r="1">
      <x v="3"/>
    </i>
    <i r="1">
      <x v="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Gross Revenue" fld="8" baseField="0" baseItem="0"/>
  </dataFields>
  <chartFormats count="30">
    <chartFormat chart="45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5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5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9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1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1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6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6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6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7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7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7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8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8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8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1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1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1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2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2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2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7F8A07A-A8FE-42D9-896A-96876FBC9C0A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Order_ID" tableColumnId="1"/>
      <queryTableField id="2" name="Customer_ID" tableColumnId="2"/>
      <queryTableField id="3" name="Product_Code" tableColumnId="3"/>
      <queryTableField id="4" name="Units_Sold" tableColumnId="4"/>
      <queryTableField id="5" name="Master_Customer.Customer_Name" tableColumnId="5"/>
      <queryTableField id="6" name="Master_Customer.Region" tableColumnId="6"/>
      <queryTableField id="7" name="Product_Catalog.Base_Price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F75ABB-068E-4732-826F-0060727F8FB9}" name="Table6" displayName="Table6" ref="D3:E7" totalsRowShown="0" headerRowBorderDxfId="20" tableBorderDxfId="19">
  <autoFilter ref="D3:E7" xr:uid="{AEF75ABB-068E-4732-826F-0060727F8FB9}"/>
  <tableColumns count="2">
    <tableColumn id="1" xr3:uid="{01AF9A62-A23B-458D-808E-7B73A4A5F4FA}" name="Column1" dataDxfId="18"/>
    <tableColumn id="2" xr3:uid="{8DBB1C7E-8C9E-4DA1-99C6-52F88210EEF7}" name="Column2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F4C6F0-582A-44BE-B55A-47CF9AD7132E}" name="Raw_Order_" displayName="Raw_Order_" ref="A1:J9" tableType="queryTable" totalsRowCount="1">
  <autoFilter ref="A1:J8" xr:uid="{FFF4C6F0-582A-44BE-B55A-47CF9AD7132E}"/>
  <tableColumns count="10">
    <tableColumn id="1" xr3:uid="{44A15E78-1756-4245-B2F9-B6CF5A61D612}" uniqueName="1" name="Order_ID" queryTableFieldId="1" dataDxfId="16" totalsRowDxfId="15"/>
    <tableColumn id="2" xr3:uid="{54537E55-33FE-40B4-B783-9240FC713FE8}" uniqueName="2" name="Customer_ID" queryTableFieldId="2" dataDxfId="14" totalsRowDxfId="13"/>
    <tableColumn id="3" xr3:uid="{9E8D92DD-A43A-441A-AFDA-926AA4EBD6AD}" uniqueName="3" name="Product_Code" queryTableFieldId="3" dataDxfId="12" totalsRowDxfId="11"/>
    <tableColumn id="4" xr3:uid="{AFED81B2-518A-475B-9B5F-DA2EA2A22BCA}" uniqueName="4" name="Units_Sold" queryTableFieldId="4"/>
    <tableColumn id="5" xr3:uid="{C4E8C114-F157-4492-9E1A-D50212C8C2B9}" uniqueName="5" name="Customer_Name" queryTableFieldId="5" dataDxfId="10" totalsRowDxfId="9"/>
    <tableColumn id="6" xr3:uid="{391C8901-D446-4AC0-A25D-7349F67D2702}" uniqueName="6" name="Region" queryTableFieldId="6" dataDxfId="8" totalsRowDxfId="7"/>
    <tableColumn id="7" xr3:uid="{670447FD-163E-422B-9B8A-CC14A71D4051}" uniqueName="7" name="Base_Price" queryTableFieldId="7"/>
    <tableColumn id="8" xr3:uid="{CB2D4999-32E1-4C2C-B460-1EBAD5746C6D}" uniqueName="8" name="Product_code_mid" queryTableFieldId="8" dataDxfId="6" totalsRowDxfId="5">
      <calculatedColumnFormula>MID(Raw_Order_[[#This Row],[Product_Code]],6,4)</calculatedColumnFormula>
    </tableColumn>
    <tableColumn id="9" xr3:uid="{526D3FCB-91F3-48E2-B8D7-566852198E74}" uniqueName="9" name="Gross Revenue" queryTableFieldId="9" dataDxfId="4" totalsRowDxfId="3">
      <calculatedColumnFormula>Raw_Order_[[#This Row],[Units_Sold]]*Raw_Order_[[#This Row],[Base_Price]]</calculatedColumnFormula>
    </tableColumn>
    <tableColumn id="10" xr3:uid="{A5A8E4DB-0405-46F3-ADCC-DF52E3CF2428}" uniqueName="10" name="Order Tier" queryTableFieldId="10" dataDxfId="2" totalsRowDxfId="1">
      <calculatedColumnFormula>IF(I2&gt;=1000,"High-Value",IF(I2&gt;=300,"Standard","low-value"))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2C0D11-9F06-4B9E-98DC-E3C96FCC843E}" name="Product_Catalog" displayName="Product_Catalog" ref="A1:B4" totalsRowShown="0">
  <autoFilter ref="A1:B4" xr:uid="{B12C0D11-9F06-4B9E-98DC-E3C96FCC843E}"/>
  <tableColumns count="2">
    <tableColumn id="1" xr3:uid="{6A01B9A9-6538-4DBB-8ABA-74572AEADC78}" name="Base_Price"/>
    <tableColumn id="2" xr3:uid="{0EAC561D-6EBF-41C0-88D6-5DB699473093}" name="Product_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EB3E24-232E-4461-8CBA-DF6BD76C647A}" name="Master_Customer" displayName="Master_Customer" ref="A1:C6" totalsRowShown="0">
  <autoFilter ref="A1:C6" xr:uid="{4FEB3E24-232E-4461-8CBA-DF6BD76C647A}"/>
  <tableColumns count="3">
    <tableColumn id="1" xr3:uid="{EDEC99C5-3B8B-4747-8342-E5F686FDB034}" name="Customer_ID"/>
    <tableColumn id="2" xr3:uid="{90ABD769-5BE6-4A8F-8A5C-FB5D5F845F51}" name="Customer_Name"/>
    <tableColumn id="3" xr3:uid="{98153293-8085-418D-A5D3-983ACBEA2C0F}" name="Reg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8C5DB6-AEAF-4230-9F96-3783053970E0}" name="Raw_Order" displayName="Raw_Order" ref="A1:D8" totalsRowShown="0">
  <autoFilter ref="A1:D8" xr:uid="{E08C5DB6-AEAF-4230-9F96-3783053970E0}"/>
  <tableColumns count="4">
    <tableColumn id="1" xr3:uid="{B45E47B4-87A6-4360-8696-736EC100668E}" name="Order_ID"/>
    <tableColumn id="2" xr3:uid="{72028EF0-BAC2-4ABE-9254-7D103A96E871}" name="Customer_ID"/>
    <tableColumn id="3" xr3:uid="{CE8B4998-5908-42CD-8969-1EBBF4ED9A88}" name="Product_Code"/>
    <tableColumn id="4" xr3:uid="{1F46CBBF-295B-43E0-921D-E5164223B021}" name="Units_Sold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FF00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84F7-24A7-4EFF-B9A3-40CF531CB242}">
  <dimension ref="A1"/>
  <sheetViews>
    <sheetView showGridLines="0" showRowColHeaders="0" tabSelected="1" topLeftCell="A3" zoomScale="85" workbookViewId="0">
      <selection activeCell="N16" sqref="N16"/>
    </sheetView>
  </sheetViews>
  <sheetFormatPr defaultRowHeight="13.8" x14ac:dyDescent="0.25"/>
  <cols>
    <col min="15" max="15" width="13.3984375" customWidth="1"/>
  </cols>
  <sheetData/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68CC-A075-41E9-9E53-94713A902301}">
  <dimension ref="A3:E14"/>
  <sheetViews>
    <sheetView workbookViewId="0">
      <selection activeCell="A18" sqref="A18"/>
    </sheetView>
  </sheetViews>
  <sheetFormatPr defaultRowHeight="13.8" x14ac:dyDescent="0.25"/>
  <cols>
    <col min="1" max="1" width="18.69921875" customWidth="1"/>
    <col min="2" max="2" width="14.3984375" customWidth="1"/>
    <col min="3" max="3" width="8.69921875" customWidth="1"/>
    <col min="4" max="4" width="7.8984375" customWidth="1"/>
    <col min="5" max="5" width="10.09765625" customWidth="1"/>
  </cols>
  <sheetData>
    <row r="3" spans="1:5" x14ac:dyDescent="0.25">
      <c r="A3" s="1" t="s">
        <v>0</v>
      </c>
      <c r="B3" s="1" t="s">
        <v>1</v>
      </c>
    </row>
    <row r="4" spans="1:5" x14ac:dyDescent="0.25">
      <c r="A4" s="1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25">
      <c r="A5" s="2" t="s">
        <v>7</v>
      </c>
      <c r="C5">
        <v>45</v>
      </c>
      <c r="E5">
        <v>45</v>
      </c>
    </row>
    <row r="6" spans="1:5" x14ac:dyDescent="0.25">
      <c r="A6" s="3" t="s">
        <v>8</v>
      </c>
      <c r="C6">
        <v>45</v>
      </c>
      <c r="E6">
        <v>45</v>
      </c>
    </row>
    <row r="7" spans="1:5" x14ac:dyDescent="0.25">
      <c r="A7" s="2" t="s">
        <v>9</v>
      </c>
      <c r="D7">
        <v>1430</v>
      </c>
      <c r="E7">
        <v>1430</v>
      </c>
    </row>
    <row r="8" spans="1:5" x14ac:dyDescent="0.25">
      <c r="A8" s="3" t="s">
        <v>10</v>
      </c>
      <c r="D8">
        <v>1430</v>
      </c>
      <c r="E8">
        <v>1430</v>
      </c>
    </row>
    <row r="9" spans="1:5" x14ac:dyDescent="0.25">
      <c r="A9" s="2" t="s">
        <v>11</v>
      </c>
      <c r="D9">
        <v>540</v>
      </c>
      <c r="E9">
        <v>540</v>
      </c>
    </row>
    <row r="10" spans="1:5" x14ac:dyDescent="0.25">
      <c r="A10" s="3" t="s">
        <v>12</v>
      </c>
      <c r="D10">
        <v>540</v>
      </c>
      <c r="E10">
        <v>540</v>
      </c>
    </row>
    <row r="11" spans="1:5" x14ac:dyDescent="0.25">
      <c r="A11" s="2" t="s">
        <v>13</v>
      </c>
      <c r="B11">
        <v>1275</v>
      </c>
      <c r="D11">
        <v>900</v>
      </c>
      <c r="E11">
        <v>2175</v>
      </c>
    </row>
    <row r="12" spans="1:5" x14ac:dyDescent="0.25">
      <c r="A12" s="3" t="s">
        <v>14</v>
      </c>
      <c r="D12">
        <v>600</v>
      </c>
      <c r="E12">
        <v>600</v>
      </c>
    </row>
    <row r="13" spans="1:5" x14ac:dyDescent="0.25">
      <c r="A13" s="3" t="s">
        <v>15</v>
      </c>
      <c r="B13">
        <v>1275</v>
      </c>
      <c r="D13">
        <v>300</v>
      </c>
      <c r="E13">
        <v>1575</v>
      </c>
    </row>
    <row r="14" spans="1:5" x14ac:dyDescent="0.25">
      <c r="A14" s="2" t="s">
        <v>6</v>
      </c>
      <c r="B14">
        <v>1275</v>
      </c>
      <c r="C14">
        <v>45</v>
      </c>
      <c r="D14">
        <v>2870</v>
      </c>
      <c r="E14">
        <v>4190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2F94-BE61-4629-9777-D04878EE7980}">
  <dimension ref="D3:E7"/>
  <sheetViews>
    <sheetView workbookViewId="0">
      <selection activeCell="H3" sqref="H3"/>
    </sheetView>
  </sheetViews>
  <sheetFormatPr defaultRowHeight="13.8" x14ac:dyDescent="0.25"/>
  <cols>
    <col min="4" max="5" width="9.296875" customWidth="1"/>
  </cols>
  <sheetData>
    <row r="3" spans="4:5" x14ac:dyDescent="0.25">
      <c r="D3" s="4" t="s">
        <v>16</v>
      </c>
      <c r="E3" s="5" t="s">
        <v>17</v>
      </c>
    </row>
    <row r="4" spans="4:5" x14ac:dyDescent="0.25">
      <c r="D4" s="4" t="s">
        <v>7</v>
      </c>
      <c r="E4" s="5">
        <v>45</v>
      </c>
    </row>
    <row r="5" spans="4:5" x14ac:dyDescent="0.25">
      <c r="D5" s="4" t="s">
        <v>9</v>
      </c>
      <c r="E5" s="5">
        <v>1430</v>
      </c>
    </row>
    <row r="6" spans="4:5" x14ac:dyDescent="0.25">
      <c r="D6" s="4" t="s">
        <v>11</v>
      </c>
      <c r="E6" s="5">
        <v>540</v>
      </c>
    </row>
    <row r="7" spans="4:5" x14ac:dyDescent="0.25">
      <c r="D7" s="6" t="s">
        <v>13</v>
      </c>
      <c r="E7" s="7">
        <v>2175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195F-B7FC-4599-8BDA-637D76C67684}">
  <dimension ref="A1:J8"/>
  <sheetViews>
    <sheetView topLeftCell="E1" zoomScale="138" workbookViewId="0">
      <selection activeCell="E21" sqref="E21"/>
    </sheetView>
  </sheetViews>
  <sheetFormatPr defaultRowHeight="13.8" x14ac:dyDescent="0.25"/>
  <cols>
    <col min="1" max="1" width="10.69921875" customWidth="1"/>
    <col min="2" max="2" width="13.8984375" customWidth="1"/>
    <col min="3" max="3" width="15.296875" customWidth="1"/>
    <col min="4" max="4" width="12.09765625" customWidth="1"/>
    <col min="5" max="5" width="33.5" customWidth="1"/>
    <col min="6" max="6" width="24.69921875" customWidth="1"/>
    <col min="7" max="7" width="26.8984375" customWidth="1"/>
    <col min="8" max="8" width="19.5" customWidth="1"/>
    <col min="9" max="9" width="15.59765625" customWidth="1"/>
    <col min="10" max="10" width="11.5" customWidth="1"/>
  </cols>
  <sheetData>
    <row r="1" spans="1:10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25">
      <c r="A2" t="s">
        <v>28</v>
      </c>
      <c r="B2" t="s">
        <v>29</v>
      </c>
      <c r="C2" t="s">
        <v>30</v>
      </c>
      <c r="D2">
        <v>5</v>
      </c>
      <c r="E2" t="s">
        <v>10</v>
      </c>
      <c r="F2" t="s">
        <v>9</v>
      </c>
      <c r="G2">
        <v>150</v>
      </c>
      <c r="H2" t="str">
        <f>MID(Raw_Order_[[#This Row],[Product_Code]],6,4)</f>
        <v>9921</v>
      </c>
      <c r="I2">
        <f>Raw_Order_[[#This Row],[Units_Sold]]*Raw_Order_[[#This Row],[Base_Price]]</f>
        <v>750</v>
      </c>
      <c r="J2" t="str">
        <f t="shared" ref="J2:J8" si="0">IF(I2&gt;=1000,"High-Value",IF(I2&gt;=300,"Standard","low-value"))</f>
        <v>Standard</v>
      </c>
    </row>
    <row r="3" spans="1:10" x14ac:dyDescent="0.25">
      <c r="A3" t="s">
        <v>31</v>
      </c>
      <c r="B3" t="s">
        <v>32</v>
      </c>
      <c r="C3" t="s">
        <v>30</v>
      </c>
      <c r="D3">
        <v>2</v>
      </c>
      <c r="E3" t="s">
        <v>15</v>
      </c>
      <c r="F3" t="s">
        <v>13</v>
      </c>
      <c r="G3">
        <v>150</v>
      </c>
      <c r="H3" t="str">
        <f>MID(Raw_Order_[[#This Row],[Product_Code]],6,4)</f>
        <v>9921</v>
      </c>
      <c r="I3">
        <f>Raw_Order_[[#This Row],[Units_Sold]]*Raw_Order_[[#This Row],[Base_Price]]</f>
        <v>300</v>
      </c>
      <c r="J3" t="str">
        <f t="shared" si="0"/>
        <v>Standard</v>
      </c>
    </row>
    <row r="4" spans="1:10" x14ac:dyDescent="0.25">
      <c r="A4" t="s">
        <v>33</v>
      </c>
      <c r="B4" t="s">
        <v>29</v>
      </c>
      <c r="C4" t="s">
        <v>34</v>
      </c>
      <c r="D4">
        <v>8</v>
      </c>
      <c r="E4" t="s">
        <v>10</v>
      </c>
      <c r="F4" t="s">
        <v>9</v>
      </c>
      <c r="G4">
        <v>85</v>
      </c>
      <c r="H4" t="str">
        <f>MID(Raw_Order_[[#This Row],[Product_Code]],6,4)</f>
        <v>8815</v>
      </c>
      <c r="I4">
        <f>Raw_Order_[[#This Row],[Units_Sold]]*Raw_Order_[[#This Row],[Base_Price]]</f>
        <v>680</v>
      </c>
      <c r="J4" t="str">
        <f t="shared" si="0"/>
        <v>Standard</v>
      </c>
    </row>
    <row r="5" spans="1:10" x14ac:dyDescent="0.25">
      <c r="A5" t="s">
        <v>35</v>
      </c>
      <c r="B5" t="s">
        <v>36</v>
      </c>
      <c r="C5" t="s">
        <v>37</v>
      </c>
      <c r="D5">
        <v>12</v>
      </c>
      <c r="E5" t="s">
        <v>12</v>
      </c>
      <c r="F5" t="s">
        <v>11</v>
      </c>
      <c r="G5">
        <v>45</v>
      </c>
      <c r="H5" t="str">
        <f>MID(Raw_Order_[[#This Row],[Product_Code]],6,4)</f>
        <v>4012</v>
      </c>
      <c r="I5">
        <f>Raw_Order_[[#This Row],[Units_Sold]]*Raw_Order_[[#This Row],[Base_Price]]</f>
        <v>540</v>
      </c>
      <c r="J5" t="str">
        <f t="shared" si="0"/>
        <v>Standard</v>
      </c>
    </row>
    <row r="6" spans="1:10" x14ac:dyDescent="0.25">
      <c r="A6" t="s">
        <v>38</v>
      </c>
      <c r="B6" t="s">
        <v>32</v>
      </c>
      <c r="C6" t="s">
        <v>34</v>
      </c>
      <c r="D6">
        <v>15</v>
      </c>
      <c r="E6" t="s">
        <v>15</v>
      </c>
      <c r="F6" t="s">
        <v>13</v>
      </c>
      <c r="G6">
        <v>85</v>
      </c>
      <c r="H6" t="str">
        <f>MID(Raw_Order_[[#This Row],[Product_Code]],6,4)</f>
        <v>8815</v>
      </c>
      <c r="I6">
        <f>Raw_Order_[[#This Row],[Units_Sold]]*Raw_Order_[[#This Row],[Base_Price]]</f>
        <v>1275</v>
      </c>
      <c r="J6" t="str">
        <f t="shared" si="0"/>
        <v>High-Value</v>
      </c>
    </row>
    <row r="7" spans="1:10" x14ac:dyDescent="0.25">
      <c r="A7" t="s">
        <v>39</v>
      </c>
      <c r="B7" t="s">
        <v>40</v>
      </c>
      <c r="C7" t="s">
        <v>37</v>
      </c>
      <c r="D7">
        <v>1</v>
      </c>
      <c r="E7" t="s">
        <v>8</v>
      </c>
      <c r="F7" t="s">
        <v>7</v>
      </c>
      <c r="G7">
        <v>45</v>
      </c>
      <c r="H7" t="str">
        <f>MID(Raw_Order_[[#This Row],[Product_Code]],6,4)</f>
        <v>4012</v>
      </c>
      <c r="I7">
        <f>Raw_Order_[[#This Row],[Units_Sold]]*Raw_Order_[[#This Row],[Base_Price]]</f>
        <v>45</v>
      </c>
      <c r="J7" t="str">
        <f t="shared" si="0"/>
        <v>low-value</v>
      </c>
    </row>
    <row r="8" spans="1:10" x14ac:dyDescent="0.25">
      <c r="A8" t="s">
        <v>41</v>
      </c>
      <c r="B8" t="s">
        <v>42</v>
      </c>
      <c r="C8" t="s">
        <v>30</v>
      </c>
      <c r="D8">
        <v>4</v>
      </c>
      <c r="E8" t="s">
        <v>14</v>
      </c>
      <c r="F8" t="s">
        <v>13</v>
      </c>
      <c r="G8">
        <v>150</v>
      </c>
      <c r="H8" t="str">
        <f>MID(Raw_Order_[[#This Row],[Product_Code]],6,4)</f>
        <v>9921</v>
      </c>
      <c r="I8">
        <f>Raw_Order_[[#This Row],[Units_Sold]]*Raw_Order_[[#This Row],[Base_Price]]</f>
        <v>600</v>
      </c>
      <c r="J8" t="str">
        <f t="shared" si="0"/>
        <v>Standard</v>
      </c>
    </row>
  </sheetData>
  <conditionalFormatting sqref="J1:J8">
    <cfRule type="cellIs" dxfId="0" priority="1" operator="equal">
      <formula>"High-Value"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DA15-D17F-4B14-AA89-4C2C6DBFAD56}">
  <dimension ref="A1:B4"/>
  <sheetViews>
    <sheetView zoomScale="130" workbookViewId="0"/>
  </sheetViews>
  <sheetFormatPr defaultRowHeight="13.8" x14ac:dyDescent="0.25"/>
  <cols>
    <col min="1" max="1" width="11.69921875" customWidth="1"/>
    <col min="2" max="2" width="14.69921875" customWidth="1"/>
  </cols>
  <sheetData>
    <row r="1" spans="1:2" x14ac:dyDescent="0.25">
      <c r="A1" t="s">
        <v>24</v>
      </c>
      <c r="B1" t="s">
        <v>20</v>
      </c>
    </row>
    <row r="2" spans="1:2" x14ac:dyDescent="0.25">
      <c r="A2">
        <v>150</v>
      </c>
      <c r="B2" t="s">
        <v>30</v>
      </c>
    </row>
    <row r="3" spans="1:2" x14ac:dyDescent="0.25">
      <c r="A3">
        <v>45</v>
      </c>
      <c r="B3" t="s">
        <v>37</v>
      </c>
    </row>
    <row r="4" spans="1:2" x14ac:dyDescent="0.25">
      <c r="A4">
        <v>85</v>
      </c>
      <c r="B4" t="s">
        <v>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D194-2530-4638-90B8-119E43B57653}">
  <dimension ref="A1:C6"/>
  <sheetViews>
    <sheetView zoomScale="141" zoomScaleNormal="70" workbookViewId="0">
      <selection activeCell="E23" sqref="E23"/>
    </sheetView>
  </sheetViews>
  <sheetFormatPr defaultRowHeight="13.8" x14ac:dyDescent="0.25"/>
  <cols>
    <col min="1" max="1" width="13.69921875" customWidth="1"/>
    <col min="2" max="2" width="16.8984375" customWidth="1"/>
    <col min="3" max="3" width="8.59765625" customWidth="1"/>
  </cols>
  <sheetData>
    <row r="1" spans="1:3" x14ac:dyDescent="0.25">
      <c r="A1" t="s">
        <v>19</v>
      </c>
      <c r="B1" t="s">
        <v>22</v>
      </c>
      <c r="C1" t="s">
        <v>23</v>
      </c>
    </row>
    <row r="2" spans="1:3" x14ac:dyDescent="0.25">
      <c r="A2" t="s">
        <v>29</v>
      </c>
      <c r="B2" t="s">
        <v>10</v>
      </c>
      <c r="C2" t="s">
        <v>9</v>
      </c>
    </row>
    <row r="3" spans="1:3" x14ac:dyDescent="0.25">
      <c r="A3" t="s">
        <v>32</v>
      </c>
      <c r="B3" t="s">
        <v>15</v>
      </c>
      <c r="C3" t="s">
        <v>13</v>
      </c>
    </row>
    <row r="4" spans="1:3" x14ac:dyDescent="0.25">
      <c r="A4" t="s">
        <v>40</v>
      </c>
      <c r="B4" t="s">
        <v>8</v>
      </c>
      <c r="C4" t="s">
        <v>7</v>
      </c>
    </row>
    <row r="5" spans="1:3" x14ac:dyDescent="0.25">
      <c r="A5" t="s">
        <v>36</v>
      </c>
      <c r="B5" t="s">
        <v>12</v>
      </c>
      <c r="C5" t="s">
        <v>11</v>
      </c>
    </row>
    <row r="6" spans="1:3" x14ac:dyDescent="0.25">
      <c r="A6" t="s">
        <v>42</v>
      </c>
      <c r="B6" t="s">
        <v>14</v>
      </c>
      <c r="C6" t="s">
        <v>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4860-3D00-4374-B5B4-3428A40BF8CF}">
  <dimension ref="A1:D8"/>
  <sheetViews>
    <sheetView zoomScale="106" workbookViewId="0">
      <selection activeCell="J20" sqref="J20"/>
    </sheetView>
  </sheetViews>
  <sheetFormatPr defaultRowHeight="13.8" x14ac:dyDescent="0.25"/>
  <cols>
    <col min="1" max="1" width="10.5" customWidth="1"/>
    <col min="2" max="2" width="13.69921875" customWidth="1"/>
    <col min="3" max="3" width="14.69921875" customWidth="1"/>
    <col min="4" max="4" width="11.69921875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">
        <v>28</v>
      </c>
      <c r="B2" t="s">
        <v>29</v>
      </c>
      <c r="C2" t="s">
        <v>30</v>
      </c>
      <c r="D2">
        <v>5</v>
      </c>
    </row>
    <row r="3" spans="1:4" x14ac:dyDescent="0.25">
      <c r="A3" t="s">
        <v>35</v>
      </c>
      <c r="B3" t="s">
        <v>36</v>
      </c>
      <c r="C3" t="s">
        <v>37</v>
      </c>
      <c r="D3">
        <v>12</v>
      </c>
    </row>
    <row r="4" spans="1:4" x14ac:dyDescent="0.25">
      <c r="A4" t="s">
        <v>31</v>
      </c>
      <c r="B4" t="s">
        <v>32</v>
      </c>
      <c r="C4" t="s">
        <v>30</v>
      </c>
      <c r="D4">
        <v>2</v>
      </c>
    </row>
    <row r="5" spans="1:4" x14ac:dyDescent="0.25">
      <c r="A5" t="s">
        <v>33</v>
      </c>
      <c r="B5" t="s">
        <v>29</v>
      </c>
      <c r="C5" t="s">
        <v>34</v>
      </c>
      <c r="D5">
        <v>8</v>
      </c>
    </row>
    <row r="6" spans="1:4" x14ac:dyDescent="0.25">
      <c r="A6" t="s">
        <v>39</v>
      </c>
      <c r="B6" t="s">
        <v>40</v>
      </c>
      <c r="C6" t="s">
        <v>37</v>
      </c>
      <c r="D6">
        <v>1</v>
      </c>
    </row>
    <row r="7" spans="1:4" x14ac:dyDescent="0.25">
      <c r="A7" t="s">
        <v>38</v>
      </c>
      <c r="B7" t="s">
        <v>32</v>
      </c>
      <c r="C7" t="s">
        <v>34</v>
      </c>
      <c r="D7">
        <v>15</v>
      </c>
    </row>
    <row r="8" spans="1:4" x14ac:dyDescent="0.25">
      <c r="A8" t="s">
        <v>41</v>
      </c>
      <c r="B8" t="s">
        <v>42</v>
      </c>
      <c r="C8" t="s">
        <v>30</v>
      </c>
      <c r="D8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8A01C977-B55D-466A-9E4B-72C1A2796B5F}">
  <ds:schemaRefs>
    <ds:schemaRef ds:uri="http://gemini/pivotcustomization/ErrorCache"/>
  </ds:schemaRefs>
</ds:datastoreItem>
</file>

<file path=customXml/itemProps2.xml><?xml version="1.0" encoding="utf-8"?>
<ds:datastoreItem xmlns:ds="http://schemas.openxmlformats.org/officeDocument/2006/customXml" ds:itemID="{CA2E320B-8705-4EBC-877B-096D93930EB8}">
  <ds:schemaRefs>
    <ds:schemaRef ds:uri="http://gemini/pivotcustomization/SandboxNonEmpty"/>
  </ds:schemaRefs>
</ds:datastoreItem>
</file>

<file path=customXml/itemProps3.xml><?xml version="1.0" encoding="utf-8"?>
<ds:datastoreItem xmlns:ds="http://schemas.openxmlformats.org/officeDocument/2006/customXml" ds:itemID="{1962D9BF-6CA5-4142-9964-870A8621E1BD}">
  <ds:schemaRefs>
    <ds:schemaRef ds:uri="http://gemini/pivotcustomization/RelationshipAutoDetectionEnabled"/>
  </ds:schemaRefs>
</ds:datastoreItem>
</file>

<file path=customXml/itemProps4.xml><?xml version="1.0" encoding="utf-8"?>
<ds:datastoreItem xmlns:ds="http://schemas.openxmlformats.org/officeDocument/2006/customXml" ds:itemID="{FF635573-7CBF-4FEB-A51A-888D241A1921}">
  <ds:schemaRefs>
    <ds:schemaRef ds:uri="http://gemini/pivotcustomization/PowerPivotVersion"/>
  </ds:schemaRefs>
</ds:datastoreItem>
</file>

<file path=customXml/itemProps5.xml><?xml version="1.0" encoding="utf-8"?>
<ds:datastoreItem xmlns:ds="http://schemas.openxmlformats.org/officeDocument/2006/customXml" ds:itemID="{0F21D85F-CB4D-4C09-987F-48FF2D21586B}">
  <ds:schemaRefs>
    <ds:schemaRef ds:uri="http://gemini/pivotcustomization/IsSandboxEmbedded"/>
  </ds:schemaRefs>
</ds:datastoreItem>
</file>

<file path=customXml/itemProps6.xml><?xml version="1.0" encoding="utf-8"?>
<ds:datastoreItem xmlns:ds="http://schemas.openxmlformats.org/officeDocument/2006/customXml" ds:itemID="{13C4097B-B17A-4756-93B6-9DEDF62648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Executive_Dashboard</vt:lpstr>
      <vt:lpstr>Pivot_Analysis</vt:lpstr>
      <vt:lpstr>Sheet1</vt:lpstr>
      <vt:lpstr>Clean_Data_Warehouse</vt:lpstr>
      <vt:lpstr>Product_Catalog</vt:lpstr>
      <vt:lpstr>Master_Customer</vt:lpstr>
      <vt:lpstr>Raw_Order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K</dc:creator>
  <cp:keywords/>
  <dc:description/>
  <cp:lastModifiedBy>Sanjeev K</cp:lastModifiedBy>
  <cp:revision/>
  <dcterms:created xsi:type="dcterms:W3CDTF">2026-10-02T13:22:59Z</dcterms:created>
  <dcterms:modified xsi:type="dcterms:W3CDTF">2026-10-15T15:25:10Z</dcterms:modified>
  <cp:category/>
  <cp:contentStatus/>
</cp:coreProperties>
</file>