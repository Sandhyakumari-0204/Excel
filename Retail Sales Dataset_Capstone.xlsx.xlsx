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046136d08989aae/Pictures/Camera Roll/Desktop/learning excel/"/>
    </mc:Choice>
  </mc:AlternateContent>
  <xr:revisionPtr revIDLastSave="30" documentId="13_ncr:1_{F61CBA5C-D70C-4E59-9DCB-26EE5DDC4890}" xr6:coauthVersionLast="47" xr6:coauthVersionMax="47" xr10:uidLastSave="{12835346-7E46-4FDA-AC5E-4F05FF8A11B8}"/>
  <workbookProtection lockStructure="1"/>
  <bookViews>
    <workbookView xWindow="-108" yWindow="-108" windowWidth="23256" windowHeight="12456" activeTab="1" xr2:uid="{B8607CFB-F99D-4236-8F03-56C23C869129}"/>
  </bookViews>
  <sheets>
    <sheet name="Insights" sheetId="9" r:id="rId1"/>
    <sheet name="Dash Board" sheetId="8" r:id="rId2"/>
    <sheet name="Pivot Table" sheetId="7" r:id="rId3"/>
    <sheet name="Raw Data" sheetId="1" r:id="rId4"/>
    <sheet name="Product Lookup" sheetId="2" r:id="rId5"/>
    <sheet name="City Lookup" sheetId="3" r:id="rId6"/>
  </sheets>
  <definedNames>
    <definedName name="Slicer_Category">#N/A</definedName>
    <definedName name="Slicer_City">#N/A</definedName>
    <definedName name="Slicer_Payment_Method">#N/A</definedName>
    <definedName name="Slicer_Salespers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S2" i="1" s="1"/>
  <c r="P3" i="1"/>
  <c r="S3" i="1" s="1"/>
  <c r="P4" i="1"/>
  <c r="S4" i="1" s="1"/>
  <c r="P5" i="1"/>
  <c r="S5" i="1" s="1"/>
  <c r="P6" i="1"/>
  <c r="S6" i="1" s="1"/>
  <c r="P7" i="1"/>
  <c r="S7" i="1" s="1"/>
  <c r="P8" i="1"/>
  <c r="S8" i="1" s="1"/>
  <c r="P9" i="1"/>
  <c r="S9" i="1" s="1"/>
  <c r="P10" i="1"/>
  <c r="S10" i="1" s="1"/>
  <c r="P11" i="1"/>
  <c r="S11" i="1" s="1"/>
  <c r="P12" i="1"/>
  <c r="S12" i="1" s="1"/>
  <c r="P13" i="1"/>
  <c r="S13" i="1" s="1"/>
  <c r="P14" i="1"/>
  <c r="S14" i="1" s="1"/>
  <c r="P15" i="1"/>
  <c r="S15" i="1" s="1"/>
  <c r="P16" i="1"/>
  <c r="S16" i="1" s="1"/>
  <c r="P17" i="1"/>
  <c r="S17" i="1" s="1"/>
  <c r="P18" i="1"/>
  <c r="S18" i="1" s="1"/>
  <c r="P19" i="1"/>
  <c r="S19" i="1" s="1"/>
  <c r="P20" i="1"/>
  <c r="S20" i="1" s="1"/>
  <c r="P21" i="1"/>
  <c r="S21" i="1" s="1"/>
  <c r="O2" i="1"/>
  <c r="R2" i="1" s="1"/>
  <c r="O3" i="1"/>
  <c r="R3" i="1" s="1"/>
  <c r="O4" i="1"/>
  <c r="R4" i="1" s="1"/>
  <c r="O5" i="1"/>
  <c r="R5" i="1" s="1"/>
  <c r="O6" i="1"/>
  <c r="R6" i="1" s="1"/>
  <c r="O7" i="1"/>
  <c r="R7" i="1" s="1"/>
  <c r="O8" i="1"/>
  <c r="R8" i="1" s="1"/>
  <c r="O9" i="1"/>
  <c r="R9" i="1" s="1"/>
  <c r="O10" i="1"/>
  <c r="R10" i="1" s="1"/>
  <c r="O11" i="1"/>
  <c r="R11" i="1" s="1"/>
  <c r="O12" i="1"/>
  <c r="R12" i="1" s="1"/>
  <c r="O13" i="1"/>
  <c r="R13" i="1" s="1"/>
  <c r="O14" i="1"/>
  <c r="R14" i="1" s="1"/>
  <c r="O15" i="1"/>
  <c r="R15" i="1" s="1"/>
  <c r="O16" i="1"/>
  <c r="R16" i="1" s="1"/>
  <c r="O17" i="1"/>
  <c r="R17" i="1" s="1"/>
  <c r="O18" i="1"/>
  <c r="R18" i="1" s="1"/>
  <c r="O19" i="1"/>
  <c r="R19" i="1" s="1"/>
  <c r="O20" i="1"/>
  <c r="R20" i="1" s="1"/>
  <c r="O21" i="1"/>
  <c r="R21" i="1" s="1"/>
  <c r="N2" i="1"/>
  <c r="N3" i="1"/>
  <c r="N4" i="1"/>
  <c r="N5" i="1"/>
  <c r="N6" i="1"/>
  <c r="N7" i="1"/>
  <c r="N8" i="1"/>
  <c r="N9" i="1"/>
  <c r="N10" i="1"/>
  <c r="N11" i="1"/>
  <c r="N12" i="1"/>
  <c r="N13" i="1"/>
  <c r="N14" i="1"/>
  <c r="N15" i="1"/>
  <c r="N16" i="1"/>
  <c r="N17" i="1"/>
  <c r="N18" i="1"/>
  <c r="N19" i="1"/>
  <c r="N20" i="1"/>
  <c r="N21" i="1"/>
  <c r="M2" i="1"/>
  <c r="M3" i="1"/>
  <c r="M4" i="1"/>
  <c r="M5" i="1"/>
  <c r="M6" i="1"/>
  <c r="M7" i="1"/>
  <c r="M8" i="1"/>
  <c r="M9" i="1"/>
  <c r="M10" i="1"/>
  <c r="M11" i="1"/>
  <c r="M12" i="1"/>
  <c r="M13" i="1"/>
  <c r="M14" i="1"/>
  <c r="M15" i="1"/>
  <c r="M16" i="1"/>
  <c r="M17" i="1"/>
  <c r="M18" i="1"/>
  <c r="M19" i="1"/>
  <c r="M20" i="1"/>
  <c r="M21" i="1"/>
  <c r="Q3" i="1"/>
  <c r="Q4" i="1"/>
  <c r="Q5" i="1"/>
  <c r="Q6" i="1"/>
  <c r="Q7" i="1"/>
  <c r="Q8" i="1"/>
  <c r="Q9" i="1"/>
  <c r="Q10" i="1"/>
  <c r="Q11" i="1"/>
  <c r="Q12" i="1"/>
  <c r="Q13" i="1"/>
  <c r="Q14" i="1"/>
  <c r="Q15" i="1"/>
  <c r="Q16" i="1"/>
  <c r="Q17" i="1"/>
  <c r="Q18" i="1"/>
  <c r="Q19" i="1"/>
  <c r="Q20" i="1"/>
  <c r="Q21" i="1"/>
  <c r="Q2" i="1"/>
  <c r="L3" i="1"/>
  <c r="L4" i="1"/>
  <c r="L5" i="1"/>
  <c r="L6" i="1"/>
  <c r="L7" i="1"/>
  <c r="L8" i="1"/>
  <c r="L9" i="1"/>
  <c r="L10" i="1"/>
  <c r="L11" i="1"/>
  <c r="L12" i="1"/>
  <c r="L13" i="1"/>
  <c r="L14" i="1"/>
  <c r="L15" i="1"/>
  <c r="L16" i="1"/>
  <c r="L17" i="1"/>
  <c r="L18" i="1"/>
  <c r="L19" i="1"/>
  <c r="L20" i="1"/>
  <c r="L21" i="1"/>
  <c r="L2" i="1"/>
  <c r="K3" i="1"/>
  <c r="K4" i="1"/>
  <c r="K5" i="1"/>
  <c r="K6" i="1"/>
  <c r="K7" i="1"/>
  <c r="K8" i="1"/>
  <c r="K9" i="1"/>
  <c r="K10" i="1"/>
  <c r="K11" i="1"/>
  <c r="K12" i="1"/>
  <c r="K13" i="1"/>
  <c r="K14" i="1"/>
  <c r="K15" i="1"/>
  <c r="K16" i="1"/>
  <c r="K17" i="1"/>
  <c r="K18" i="1"/>
  <c r="K19" i="1"/>
  <c r="K20" i="1"/>
  <c r="K21" i="1"/>
  <c r="K2" i="1"/>
  <c r="J3" i="1"/>
  <c r="J4" i="1"/>
  <c r="J5" i="1"/>
  <c r="J6" i="1"/>
  <c r="J7" i="1"/>
  <c r="J8" i="1"/>
  <c r="J9" i="1"/>
  <c r="J10" i="1"/>
  <c r="J11" i="1"/>
  <c r="J12" i="1"/>
  <c r="J13" i="1"/>
  <c r="J14" i="1"/>
  <c r="J15" i="1"/>
  <c r="J16" i="1"/>
  <c r="J17" i="1"/>
  <c r="J18" i="1"/>
  <c r="J19" i="1"/>
  <c r="J20" i="1"/>
  <c r="J21" i="1"/>
  <c r="J2" i="1"/>
  <c r="I3" i="1"/>
  <c r="I4" i="1"/>
  <c r="I5" i="1"/>
  <c r="I6" i="1"/>
  <c r="I7" i="1"/>
  <c r="I8" i="1"/>
  <c r="I9" i="1"/>
  <c r="I10" i="1"/>
  <c r="I11" i="1"/>
  <c r="I12" i="1"/>
  <c r="I13" i="1"/>
  <c r="I14" i="1"/>
  <c r="I15" i="1"/>
  <c r="I16" i="1"/>
  <c r="I17" i="1"/>
  <c r="I18" i="1"/>
  <c r="I19" i="1"/>
  <c r="I20" i="1"/>
  <c r="I21" i="1"/>
  <c r="I2" i="1"/>
  <c r="V3" i="1" l="1"/>
  <c r="T2" i="1"/>
  <c r="V2" i="1"/>
  <c r="T13" i="1"/>
  <c r="V13" i="1"/>
  <c r="T14" i="1"/>
  <c r="V14" i="1"/>
  <c r="T15" i="1"/>
  <c r="V15" i="1"/>
  <c r="T16" i="1"/>
  <c r="V16" i="1"/>
  <c r="T17" i="1"/>
  <c r="V17" i="1"/>
  <c r="T18" i="1"/>
  <c r="V18" i="1"/>
  <c r="T19" i="1"/>
  <c r="W19" i="1" s="1"/>
  <c r="V19" i="1"/>
  <c r="T20" i="1"/>
  <c r="V20" i="1"/>
  <c r="T21" i="1"/>
  <c r="U21" i="1" s="1"/>
  <c r="V21" i="1"/>
  <c r="U19" i="1"/>
  <c r="U20" i="1"/>
  <c r="W20" i="1"/>
  <c r="W21" i="1"/>
  <c r="V4" i="1"/>
  <c r="T4" i="1"/>
  <c r="T5" i="1"/>
  <c r="V5" i="1"/>
  <c r="V6" i="1"/>
  <c r="T6" i="1"/>
  <c r="V7" i="1"/>
  <c r="T7" i="1"/>
  <c r="T8" i="1"/>
  <c r="V8" i="1"/>
  <c r="V9" i="1"/>
  <c r="T9" i="1"/>
  <c r="V10" i="1"/>
  <c r="T10" i="1"/>
  <c r="V11" i="1"/>
  <c r="T11" i="1"/>
  <c r="V12" i="1"/>
  <c r="T12" i="1"/>
  <c r="T3" i="1"/>
  <c r="U3" i="1" s="1"/>
  <c r="W3" i="1"/>
  <c r="W2" i="1" l="1"/>
  <c r="U2" i="1"/>
  <c r="W13" i="1"/>
  <c r="U13" i="1"/>
  <c r="U14" i="1"/>
  <c r="W14" i="1"/>
  <c r="W15" i="1"/>
  <c r="U15" i="1"/>
  <c r="U16" i="1"/>
  <c r="W16" i="1"/>
  <c r="W17" i="1"/>
  <c r="U17" i="1"/>
  <c r="U18" i="1"/>
  <c r="W18" i="1"/>
  <c r="W4" i="1"/>
  <c r="U4" i="1"/>
  <c r="U5" i="1"/>
  <c r="W5" i="1"/>
  <c r="W6" i="1"/>
  <c r="U6" i="1"/>
  <c r="U7" i="1"/>
  <c r="W7" i="1"/>
  <c r="U8" i="1"/>
  <c r="W8" i="1"/>
  <c r="U9" i="1"/>
  <c r="W9" i="1"/>
  <c r="U10" i="1"/>
  <c r="W10" i="1"/>
  <c r="U11" i="1"/>
  <c r="W11" i="1"/>
  <c r="U12" i="1"/>
  <c r="W12" i="1"/>
</calcChain>
</file>

<file path=xl/sharedStrings.xml><?xml version="1.0" encoding="utf-8"?>
<sst xmlns="http://schemas.openxmlformats.org/spreadsheetml/2006/main" count="260" uniqueCount="132">
  <si>
    <t>Order ID</t>
  </si>
  <si>
    <t>Date</t>
  </si>
  <si>
    <t>Customer Name</t>
  </si>
  <si>
    <t>City</t>
  </si>
  <si>
    <t>Product Code</t>
  </si>
  <si>
    <t>Units</t>
  </si>
  <si>
    <t>Salesperson</t>
  </si>
  <si>
    <t>Payment Method</t>
  </si>
  <si>
    <t>HYD25-001</t>
  </si>
  <si>
    <t>Hyderabad</t>
  </si>
  <si>
    <t>P101</t>
  </si>
  <si>
    <t>Rahul</t>
  </si>
  <si>
    <t>UPI</t>
  </si>
  <si>
    <t>MUM25-002</t>
  </si>
  <si>
    <t>Mumbai</t>
  </si>
  <si>
    <t>P102</t>
  </si>
  <si>
    <t>Priya</t>
  </si>
  <si>
    <t>Card</t>
  </si>
  <si>
    <t>DEL25-003</t>
  </si>
  <si>
    <t>Delhi</t>
  </si>
  <si>
    <t>P103</t>
  </si>
  <si>
    <t>Aman</t>
  </si>
  <si>
    <t>Cash</t>
  </si>
  <si>
    <t>HYD25-004</t>
  </si>
  <si>
    <t>P104</t>
  </si>
  <si>
    <t>MUM25-005</t>
  </si>
  <si>
    <t>DEL25-006</t>
  </si>
  <si>
    <t>P105</t>
  </si>
  <si>
    <t>Neha</t>
  </si>
  <si>
    <t>HYD25-007</t>
  </si>
  <si>
    <t>MUM25-008</t>
  </si>
  <si>
    <t>Neha Verma</t>
  </si>
  <si>
    <t>P106</t>
  </si>
  <si>
    <t>DEL25-009</t>
  </si>
  <si>
    <t>HYD25-010</t>
  </si>
  <si>
    <t>MUM25-011</t>
  </si>
  <si>
    <t>Vivek Patel</t>
  </si>
  <si>
    <t>DEL25-012</t>
  </si>
  <si>
    <t>Meera Singh</t>
  </si>
  <si>
    <t>HYD25-013</t>
  </si>
  <si>
    <t>MUM25-014</t>
  </si>
  <si>
    <t>Nisha Das</t>
  </si>
  <si>
    <t>DEL25-015</t>
  </si>
  <si>
    <t>Ravi Kumar</t>
  </si>
  <si>
    <t>HYD25-016</t>
  </si>
  <si>
    <t>Pooja Rao</t>
  </si>
  <si>
    <t>MUM25-017</t>
  </si>
  <si>
    <t>Imran Khan</t>
  </si>
  <si>
    <t>DEL25-018</t>
  </si>
  <si>
    <t>Divya Shah</t>
  </si>
  <si>
    <t>HYD25-019</t>
  </si>
  <si>
    <t>MUM25-020</t>
  </si>
  <si>
    <t>Priya Reddy</t>
  </si>
  <si>
    <t>Product</t>
  </si>
  <si>
    <t>Category</t>
  </si>
  <si>
    <t>Unit Price</t>
  </si>
  <si>
    <t>Cost Per Unit</t>
  </si>
  <si>
    <t>Laptop Stand</t>
  </si>
  <si>
    <t>Accessories</t>
  </si>
  <si>
    <t>Wireless Mouse</t>
  </si>
  <si>
    <t>Keyboard</t>
  </si>
  <si>
    <t>Monitor</t>
  </si>
  <si>
    <t>Electronics</t>
  </si>
  <si>
    <t>Headset</t>
  </si>
  <si>
    <t>Webcam</t>
  </si>
  <si>
    <t>Region</t>
  </si>
  <si>
    <t>South</t>
  </si>
  <si>
    <t>West</t>
  </si>
  <si>
    <t>North</t>
  </si>
  <si>
    <t>Rahul Sharma</t>
  </si>
  <si>
    <t>Aman Khan</t>
  </si>
  <si>
    <t>Sneha Rao</t>
  </si>
  <si>
    <t>Arjun Mehta</t>
  </si>
  <si>
    <t>Ayesha Ali</t>
  </si>
  <si>
    <t>Rohit Kumar</t>
  </si>
  <si>
    <t>Kiran Rao</t>
  </si>
  <si>
    <t>Sana Khan</t>
  </si>
  <si>
    <t>Farhan Ali</t>
  </si>
  <si>
    <t>Unknown</t>
  </si>
  <si>
    <t>Order Prefix</t>
  </si>
  <si>
    <t>Year Component</t>
  </si>
  <si>
    <t>Order Number</t>
  </si>
  <si>
    <t>Customer Label</t>
  </si>
  <si>
    <t>Cost per Unit</t>
  </si>
  <si>
    <t>Revenue</t>
  </si>
  <si>
    <t>Total Cost</t>
  </si>
  <si>
    <t>Profit</t>
  </si>
  <si>
    <t>Profit Margin</t>
  </si>
  <si>
    <t>Performance</t>
  </si>
  <si>
    <t>Transaction Review</t>
  </si>
  <si>
    <t>Row Labels</t>
  </si>
  <si>
    <t>Grand Total</t>
  </si>
  <si>
    <t>Sum of Revenue</t>
  </si>
  <si>
    <t>Column1</t>
  </si>
  <si>
    <t>Column2</t>
  </si>
  <si>
    <t>Sum of Profit</t>
  </si>
  <si>
    <t>Sum of Units</t>
  </si>
  <si>
    <t>Insight: Delhi generates the highest revenue among the three cities.</t>
  </si>
  <si>
    <t>Evidence: Delhi generates ₹67,700, Hyderabad generates ₹67,000, and Mumbai generates ₹62,900. Total revenue is ₹197,600.</t>
  </si>
  <si>
    <t>Business Meaning: Delhi is the leading city by revenue, but its revenue is only slightly higher than Hyderabad's. The company can study sales performance in both cities to identify opportunities for growth.</t>
  </si>
  <si>
    <t>Revenue by City</t>
  </si>
  <si>
    <t>Profit by City</t>
  </si>
  <si>
    <t>Insight: Delhi generates the highest profit among the three cities.</t>
  </si>
  <si>
    <t>Evidence: Delhi generates ₹24,200 in profit, while Hyderabad and Mumbai each generate ₹21,000. Total profit is ₹66,200.</t>
  </si>
  <si>
    <t>Business Meaning: Delhi is the most profitable city in the current analysis. The company can examine its sales and cost patterns to understand what contributes to its stronger profit.</t>
  </si>
  <si>
    <t>Revenue by Category</t>
  </si>
  <si>
    <t>Insight: Electronics is the largest contributor to total revenue.</t>
  </si>
  <si>
    <t>Evidence: Electronics generates ₹171,000, while Accessories generates ₹26,600. Total revenue is ₹197,600.</t>
  </si>
  <si>
    <t>Business Meaning: Electronics accounts for most of the company's revenue. The company should monitor demand and stock availability while exploring opportunities to improve Accessories sales.</t>
  </si>
  <si>
    <t>Revenue by Salesperson</t>
  </si>
  <si>
    <t>Insight: Neha generates the highest revenue among the four salespeople.</t>
  </si>
  <si>
    <t>Evidence: Neha generates ₹66,200, Priya generates ₹56,900, Rahul generates ₹60,900, and Aman generates ₹13,600.</t>
  </si>
  <si>
    <t>Business Meaning: Neha leads in revenue generation. The company could study her sales practices and identify ways to improve the performance of other salespeople.</t>
  </si>
  <si>
    <t>Units Sold by Product</t>
  </si>
  <si>
    <t>Insight: Wireless Mouse has the highest number of units sold.</t>
  </si>
  <si>
    <t>Evidence: Wireless Mouse has 10 units sold, followed by Headset and Monitor with 9 units each. Laptop Stand and Webcam have 8 units each, while Keyboard has 6 units.</t>
  </si>
  <si>
    <t>Business Meaning: Wireless Mouse has the highest sales volume in this dataset. The company can monitor its inventory and investigate whether products with lower sales need different marketing strategies.</t>
  </si>
  <si>
    <t>Revenue  by Payment Method</t>
  </si>
  <si>
    <t>Insight: UPI generates the highest revenue among the payment methods.</t>
  </si>
  <si>
    <t>Evidence: UPI generates ₹111,900, Card generates ₹57,100, Unknown generates ₹18,000, and Cash generates ₹10,600.</t>
  </si>
  <si>
    <t>Business Meaning: UPI contributes the largest share of revenue. The company should continue supporting convenient digital payments and investigate transactions with an Unknown payment method to improve data completeness.</t>
  </si>
  <si>
    <t>summary</t>
  </si>
  <si>
    <t>1. Overall Performance:</t>
  </si>
  <si>
    <t>The business generated total revenue of ₹1,97,600 and total profit of ₹66,200 from 20 transactions.</t>
  </si>
  <si>
    <t>2. Strong Areas:</t>
  </si>
  <si>
    <t>Electronics is the leading category, Delhi generates the highest city revenue, and Monitors generate the highest product revenue.</t>
  </si>
  <si>
    <t>3. Areas Requiring Attention:</t>
  </si>
  <si>
    <t>Mumbai generates the lowest revenue among the three cities. The business should explore ways to improve sales in Mumbai.</t>
  </si>
  <si>
    <t>4. Important Patterns:</t>
  </si>
  <si>
    <t>UPI is the leading payment method by revenue, and Monitors contribute significantly to total revenue.</t>
  </si>
  <si>
    <t>5. Recommended Actions:</t>
  </si>
  <si>
    <t>Improve sales in Mumbai, maintain sufficient stock of popular products, continue supporting UPI payments, and identify ways to increase revenue and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</si>
</sst>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20"/>
      <color theme="4"/>
      <name val="Calibri"/>
      <family val="2"/>
      <scheme val="minor"/>
    </font>
    <font>
      <sz val="8"/>
      <color theme="1"/>
      <name val="Calibri"/>
      <family val="2"/>
      <scheme val="minor"/>
    </font>
    <font>
      <sz val="20"/>
      <color theme="1"/>
      <name val="Calibri"/>
      <family val="2"/>
      <scheme val="minor"/>
    </font>
    <font>
      <b/>
      <sz val="14"/>
      <color rgb="FFFFC000"/>
      <name val="Calibri"/>
      <family val="2"/>
      <scheme val="minor"/>
    </font>
    <font>
      <b/>
      <sz val="11"/>
      <color rgb="FFFFC000"/>
      <name val="Calibri"/>
      <family val="2"/>
      <scheme val="minor"/>
    </font>
    <font>
      <b/>
      <sz val="36"/>
      <color rgb="FF92D050"/>
      <name val="Century Schoolbook"/>
      <family val="1"/>
    </font>
    <font>
      <sz val="36"/>
      <color rgb="FF92D050"/>
      <name val="Century Schoolbook"/>
      <family val="1"/>
    </font>
    <font>
      <b/>
      <sz val="20"/>
      <color rgb="FF0070C0"/>
      <name val="Calibri"/>
      <family val="2"/>
      <scheme val="minor"/>
    </font>
    <font>
      <sz val="20"/>
      <color rgb="FF0070C0"/>
      <name val="Calibri"/>
      <family val="2"/>
      <scheme val="minor"/>
    </font>
    <font>
      <sz val="11"/>
      <color rgb="FF0070C0"/>
      <name val="Calibri"/>
      <family val="2"/>
      <scheme val="minor"/>
    </font>
    <font>
      <b/>
      <sz val="12"/>
      <color theme="1"/>
      <name val="Calibri"/>
      <family val="2"/>
      <scheme val="minor"/>
    </font>
    <font>
      <b/>
      <sz val="12"/>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1">
    <xf numFmtId="0" fontId="0" fillId="0" borderId="0" xfId="0"/>
    <xf numFmtId="15"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2" fillId="0" borderId="0" xfId="0" applyFont="1"/>
    <xf numFmtId="164" fontId="0" fillId="0" borderId="0" xfId="2" applyNumberFormat="1" applyFont="1"/>
    <xf numFmtId="164" fontId="0" fillId="0" borderId="0" xfId="0" applyNumberForma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2" fillId="0" borderId="0" xfId="0" applyFont="1"/>
    <xf numFmtId="0" fontId="8" fillId="0" borderId="0" xfId="0" applyFont="1" applyAlignment="1">
      <alignment horizontal="left" vertical="center"/>
    </xf>
    <xf numFmtId="0" fontId="9" fillId="0" borderId="0" xfId="0" applyFont="1" applyAlignment="1">
      <alignment horizontal="left" vertical="center"/>
    </xf>
    <xf numFmtId="0" fontId="0" fillId="0" borderId="0" xfId="0" applyAlignment="1">
      <alignment horizontal="left" vertical="center"/>
    </xf>
    <xf numFmtId="0" fontId="13" fillId="0" borderId="0" xfId="0" applyFont="1"/>
    <xf numFmtId="0" fontId="14" fillId="0" borderId="0" xfId="0" applyFont="1"/>
  </cellXfs>
  <cellStyles count="3">
    <cellStyle name="Currency" xfId="2" builtinId="4"/>
    <cellStyle name="Normal" xfId="0" builtinId="0"/>
    <cellStyle name="Percent" xfId="1" builtinId="5"/>
  </cellStyles>
  <dxfs count="7">
    <dxf>
      <font>
        <b val="0"/>
        <i val="0"/>
        <strike val="0"/>
        <condense val="0"/>
        <extend val="0"/>
        <outline val="0"/>
        <shadow val="0"/>
        <u val="none"/>
        <vertAlign val="baseline"/>
        <sz val="11"/>
        <color theme="1"/>
        <name val="Calibri"/>
        <family val="2"/>
        <scheme val="minor"/>
      </font>
      <numFmt numFmtId="14" formatCode="0.00%"/>
    </dxf>
    <dxf>
      <numFmt numFmtId="0" formatCode="General"/>
    </dxf>
    <dxf>
      <numFmt numFmtId="0" formatCode="General"/>
    </dxf>
    <dxf>
      <numFmt numFmtId="0" formatCode="General"/>
    </dxf>
    <dxf>
      <numFmt numFmtId="0" formatCode="General"/>
    </dxf>
    <dxf>
      <numFmt numFmtId="20" formatCode="d\-mmm\-yy"/>
    </dxf>
    <dxf>
      <numFmt numFmtId="20" formatCode="d\-mmm\-yy"/>
    </dxf>
  </dxfs>
  <tableStyles count="1" defaultTableStyle="TableStyleMedium2" defaultPivotStyle="PivotStyleLight16">
    <tableStyle name="Invisible" pivot="0" table="0" count="0" xr9:uid="{DFEA989D-8973-4A14-A25C-E38FBDB38D7D}"/>
  </tableStyles>
  <colors>
    <mruColors>
      <color rgb="FF4B15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Dataset_Capstone.xlsx.xlsx]Pivot Table!PivotTable2</c:name>
    <c:fmtId val="5"/>
  </c:pivotSource>
  <c:chart>
    <c:title>
      <c:tx>
        <c:rich>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r>
              <a:rPr lang="en-US" sz="2000" b="1">
                <a:solidFill>
                  <a:schemeClr val="accent4"/>
                </a:solidFill>
              </a:rPr>
              <a:t>Revenue by City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3"/>
                <c:pt idx="0">
                  <c:v>Delhi</c:v>
                </c:pt>
                <c:pt idx="1">
                  <c:v>Hyderabad</c:v>
                </c:pt>
                <c:pt idx="2">
                  <c:v>Mumbai</c:v>
                </c:pt>
              </c:strCache>
            </c:strRef>
          </c:cat>
          <c:val>
            <c:numRef>
              <c:f>'Pivot Table'!$B$4:$B$7</c:f>
              <c:numCache>
                <c:formatCode>General</c:formatCode>
                <c:ptCount val="3"/>
                <c:pt idx="0">
                  <c:v>67700</c:v>
                </c:pt>
                <c:pt idx="1">
                  <c:v>67000</c:v>
                </c:pt>
                <c:pt idx="2">
                  <c:v>62900</c:v>
                </c:pt>
              </c:numCache>
            </c:numRef>
          </c:val>
          <c:extLst>
            <c:ext xmlns:c16="http://schemas.microsoft.com/office/drawing/2014/chart" uri="{C3380CC4-5D6E-409C-BE32-E72D297353CC}">
              <c16:uniqueId val="{00000000-24A8-44FE-800E-6E2FE23AD674}"/>
            </c:ext>
          </c:extLst>
        </c:ser>
        <c:dLbls>
          <c:showLegendKey val="0"/>
          <c:showVal val="0"/>
          <c:showCatName val="0"/>
          <c:showSerName val="0"/>
          <c:showPercent val="0"/>
          <c:showBubbleSize val="0"/>
        </c:dLbls>
        <c:gapWidth val="140"/>
        <c:overlap val="-27"/>
        <c:axId val="1875878527"/>
        <c:axId val="1398288943"/>
      </c:barChart>
      <c:catAx>
        <c:axId val="18758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98288943"/>
        <c:crosses val="autoZero"/>
        <c:auto val="1"/>
        <c:lblAlgn val="ctr"/>
        <c:lblOffset val="100"/>
        <c:noMultiLvlLbl val="0"/>
      </c:catAx>
      <c:valAx>
        <c:axId val="139828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75878527"/>
        <c:crosses val="autoZero"/>
        <c:crossBetween val="between"/>
      </c:valAx>
      <c:spPr>
        <a:noFill/>
        <a:ln w="25400">
          <a:noFill/>
        </a:ln>
        <a:effectLst>
          <a:glow>
            <a:schemeClr val="accent1">
              <a:alpha val="40000"/>
            </a:schemeClr>
          </a:glo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Dataset_Capstone.xlsx.xlsx]Pivot Table!PivotTable4</c:name>
    <c:fmtId val="3"/>
  </c:pivotSource>
  <c:chart>
    <c:title>
      <c:tx>
        <c:rich>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r>
              <a:rPr lang="en-US" sz="2000" b="1">
                <a:solidFill>
                  <a:schemeClr val="accent4"/>
                </a:solidFill>
              </a:rPr>
              <a:t>Revenue</a:t>
            </a:r>
            <a:r>
              <a:rPr lang="en-US" sz="2000" b="1" baseline="0">
                <a:solidFill>
                  <a:schemeClr val="accent4"/>
                </a:solidFill>
              </a:rPr>
              <a:t> by Category</a:t>
            </a:r>
            <a:endParaRPr lang="en-US" sz="2000" b="1">
              <a:solidFill>
                <a:schemeClr val="accent4"/>
              </a:solidFill>
            </a:endParaRPr>
          </a:p>
        </c:rich>
      </c:tx>
      <c:layout>
        <c:manualLayout>
          <c:xMode val="edge"/>
          <c:yMode val="edge"/>
          <c:x val="0.14734582357533177"/>
          <c:y val="3.222836095764272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4815566087026006"/>
          <c:y val="0.16576240558834843"/>
          <c:w val="0.46641666666666665"/>
          <c:h val="0.77736111111111106"/>
        </c:manualLayout>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8C-4800-BD34-65D5671A01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8C-4800-BD34-65D5671A01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Table'!$G$4:$G$6</c:f>
              <c:strCache>
                <c:ptCount val="2"/>
                <c:pt idx="0">
                  <c:v>Accessories</c:v>
                </c:pt>
                <c:pt idx="1">
                  <c:v>Electronics</c:v>
                </c:pt>
              </c:strCache>
            </c:strRef>
          </c:cat>
          <c:val>
            <c:numRef>
              <c:f>'Pivot Table'!$H$4:$H$6</c:f>
              <c:numCache>
                <c:formatCode>General</c:formatCode>
                <c:ptCount val="2"/>
                <c:pt idx="0">
                  <c:v>26600</c:v>
                </c:pt>
                <c:pt idx="1">
                  <c:v>171000</c:v>
                </c:pt>
              </c:numCache>
            </c:numRef>
          </c:val>
          <c:extLst>
            <c:ext xmlns:c16="http://schemas.microsoft.com/office/drawing/2014/chart" uri="{C3380CC4-5D6E-409C-BE32-E72D297353CC}">
              <c16:uniqueId val="{00000004-C18C-4800-BD34-65D5671A01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Dataset_Capstone.xlsx.xlsx]Pivot Table!PivotTable3</c:name>
    <c:fmtId val="3"/>
  </c:pivotSource>
  <c:chart>
    <c:title>
      <c:tx>
        <c:rich>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r>
              <a:rPr lang="en-US" sz="2000" b="1">
                <a:solidFill>
                  <a:schemeClr val="accent4"/>
                </a:solidFill>
              </a:rPr>
              <a:t>Profit</a:t>
            </a:r>
            <a:r>
              <a:rPr lang="en-US" sz="2000" b="1" baseline="0">
                <a:solidFill>
                  <a:schemeClr val="accent4"/>
                </a:solidFill>
              </a:rPr>
              <a:t> by City</a:t>
            </a:r>
            <a:endParaRPr lang="en-US" sz="2000" b="1">
              <a:solidFill>
                <a:schemeClr val="accent4"/>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Table'!$D$4:$D$7</c:f>
              <c:strCache>
                <c:ptCount val="3"/>
                <c:pt idx="0">
                  <c:v>Delhi</c:v>
                </c:pt>
                <c:pt idx="1">
                  <c:v>Hyderabad</c:v>
                </c:pt>
                <c:pt idx="2">
                  <c:v>Mumbai</c:v>
                </c:pt>
              </c:strCache>
            </c:strRef>
          </c:cat>
          <c:val>
            <c:numRef>
              <c:f>'Pivot Table'!$E$4:$E$7</c:f>
              <c:numCache>
                <c:formatCode>General</c:formatCode>
                <c:ptCount val="3"/>
                <c:pt idx="0">
                  <c:v>24200</c:v>
                </c:pt>
                <c:pt idx="1">
                  <c:v>21000</c:v>
                </c:pt>
                <c:pt idx="2">
                  <c:v>21000</c:v>
                </c:pt>
              </c:numCache>
            </c:numRef>
          </c:val>
          <c:extLst>
            <c:ext xmlns:c16="http://schemas.microsoft.com/office/drawing/2014/chart" uri="{C3380CC4-5D6E-409C-BE32-E72D297353CC}">
              <c16:uniqueId val="{00000000-6275-4658-9C82-94D66A351648}"/>
            </c:ext>
          </c:extLst>
        </c:ser>
        <c:dLbls>
          <c:showLegendKey val="0"/>
          <c:showVal val="0"/>
          <c:showCatName val="0"/>
          <c:showSerName val="0"/>
          <c:showPercent val="0"/>
          <c:showBubbleSize val="0"/>
        </c:dLbls>
        <c:gapWidth val="150"/>
        <c:overlap val="100"/>
        <c:axId val="1830709695"/>
        <c:axId val="1398291343"/>
      </c:barChart>
      <c:catAx>
        <c:axId val="183070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98291343"/>
        <c:crosses val="autoZero"/>
        <c:auto val="1"/>
        <c:lblAlgn val="ctr"/>
        <c:lblOffset val="100"/>
        <c:noMultiLvlLbl val="0"/>
      </c:catAx>
      <c:valAx>
        <c:axId val="139829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307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Dataset_Capstone.xlsx.xlsx]Pivot Table!PivotTable6</c:name>
    <c:fmtId val="3"/>
  </c:pivotSource>
  <c:chart>
    <c:title>
      <c:tx>
        <c:rich>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r>
              <a:rPr lang="en-US" sz="2000" b="1">
                <a:solidFill>
                  <a:schemeClr val="accent4"/>
                </a:solidFill>
              </a:rPr>
              <a:t>Revenue</a:t>
            </a:r>
            <a:r>
              <a:rPr lang="en-US" sz="2000" b="1" baseline="0">
                <a:solidFill>
                  <a:schemeClr val="accent4"/>
                </a:solidFill>
              </a:rPr>
              <a:t> by Saleperson</a:t>
            </a:r>
            <a:endParaRPr lang="en-US" sz="2000" b="1">
              <a:solidFill>
                <a:schemeClr val="accent4"/>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Table'!$A$11:$A$15</c:f>
              <c:strCache>
                <c:ptCount val="4"/>
                <c:pt idx="0">
                  <c:v>Aman</c:v>
                </c:pt>
                <c:pt idx="1">
                  <c:v>Neha</c:v>
                </c:pt>
                <c:pt idx="2">
                  <c:v>Priya</c:v>
                </c:pt>
                <c:pt idx="3">
                  <c:v>Rahul</c:v>
                </c:pt>
              </c:strCache>
            </c:strRef>
          </c:cat>
          <c:val>
            <c:numRef>
              <c:f>'Pivot Table'!$B$11:$B$15</c:f>
              <c:numCache>
                <c:formatCode>General</c:formatCode>
                <c:ptCount val="4"/>
                <c:pt idx="0">
                  <c:v>13600</c:v>
                </c:pt>
                <c:pt idx="1">
                  <c:v>66200</c:v>
                </c:pt>
                <c:pt idx="2">
                  <c:v>56900</c:v>
                </c:pt>
                <c:pt idx="3">
                  <c:v>60900</c:v>
                </c:pt>
              </c:numCache>
            </c:numRef>
          </c:val>
          <c:extLst>
            <c:ext xmlns:c16="http://schemas.microsoft.com/office/drawing/2014/chart" uri="{C3380CC4-5D6E-409C-BE32-E72D297353CC}">
              <c16:uniqueId val="{00000000-74D4-41DE-911C-B05CB909DF28}"/>
            </c:ext>
          </c:extLst>
        </c:ser>
        <c:dLbls>
          <c:showLegendKey val="0"/>
          <c:showVal val="0"/>
          <c:showCatName val="0"/>
          <c:showSerName val="0"/>
          <c:showPercent val="0"/>
          <c:showBubbleSize val="0"/>
        </c:dLbls>
        <c:gapWidth val="42"/>
        <c:axId val="1871966079"/>
        <c:axId val="1398202063"/>
      </c:barChart>
      <c:catAx>
        <c:axId val="187196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98202063"/>
        <c:crosses val="autoZero"/>
        <c:auto val="1"/>
        <c:lblAlgn val="ctr"/>
        <c:lblOffset val="100"/>
        <c:noMultiLvlLbl val="0"/>
      </c:catAx>
      <c:valAx>
        <c:axId val="1398202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196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197966</xdr:colOff>
      <xdr:row>6</xdr:row>
      <xdr:rowOff>136929</xdr:rowOff>
    </xdr:from>
    <xdr:to>
      <xdr:col>9</xdr:col>
      <xdr:colOff>167486</xdr:colOff>
      <xdr:row>11</xdr:row>
      <xdr:rowOff>106449</xdr:rowOff>
    </xdr:to>
    <xdr:sp macro="" textlink="">
      <xdr:nvSpPr>
        <xdr:cNvPr id="5" name="Rectangle: Rounded Corners 4">
          <a:extLst>
            <a:ext uri="{FF2B5EF4-FFF2-40B4-BE49-F238E27FC236}">
              <a16:creationId xmlns:a16="http://schemas.microsoft.com/office/drawing/2014/main" id="{AAD77B7E-483B-4A4C-9F7F-31BDAFB14704}"/>
            </a:ext>
          </a:extLst>
        </xdr:cNvPr>
        <xdr:cNvSpPr/>
      </xdr:nvSpPr>
      <xdr:spPr>
        <a:xfrm>
          <a:off x="3846330" y="1245293"/>
          <a:ext cx="1793701" cy="89315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396240</xdr:colOff>
      <xdr:row>0</xdr:row>
      <xdr:rowOff>106680</xdr:rowOff>
    </xdr:from>
    <xdr:to>
      <xdr:col>22</xdr:col>
      <xdr:colOff>388620</xdr:colOff>
      <xdr:row>6</xdr:row>
      <xdr:rowOff>15240</xdr:rowOff>
    </xdr:to>
    <xdr:sp macro="" textlink="">
      <xdr:nvSpPr>
        <xdr:cNvPr id="8" name="Rectangle 7">
          <a:extLst>
            <a:ext uri="{FF2B5EF4-FFF2-40B4-BE49-F238E27FC236}">
              <a16:creationId xmlns:a16="http://schemas.microsoft.com/office/drawing/2014/main" id="{B6BF37F4-939F-8B47-0C16-8B79E1B3B98F}"/>
            </a:ext>
          </a:extLst>
        </xdr:cNvPr>
        <xdr:cNvSpPr/>
      </xdr:nvSpPr>
      <xdr:spPr>
        <a:xfrm>
          <a:off x="1615440" y="106680"/>
          <a:ext cx="12184380" cy="100584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426181</xdr:colOff>
      <xdr:row>1</xdr:row>
      <xdr:rowOff>30788</xdr:rowOff>
    </xdr:from>
    <xdr:ext cx="11384280" cy="700425"/>
    <xdr:sp macro="" textlink="">
      <xdr:nvSpPr>
        <xdr:cNvPr id="9" name="TextBox 8">
          <a:extLst>
            <a:ext uri="{FF2B5EF4-FFF2-40B4-BE49-F238E27FC236}">
              <a16:creationId xmlns:a16="http://schemas.microsoft.com/office/drawing/2014/main" id="{AC988FA5-450C-3BD0-7A70-1558D612EFA8}"/>
            </a:ext>
          </a:extLst>
        </xdr:cNvPr>
        <xdr:cNvSpPr txBox="1"/>
      </xdr:nvSpPr>
      <xdr:spPr>
        <a:xfrm>
          <a:off x="2250363" y="215515"/>
          <a:ext cx="11384280" cy="700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1">
              <a:solidFill>
                <a:schemeClr val="bg1"/>
              </a:solidFill>
            </a:rPr>
            <a:t>Retail Sales Performance &amp; Business Dashboard</a:t>
          </a:r>
        </a:p>
      </xdr:txBody>
    </xdr:sp>
    <xdr:clientData/>
  </xdr:oneCellAnchor>
  <xdr:oneCellAnchor>
    <xdr:from>
      <xdr:col>8</xdr:col>
      <xdr:colOff>175260</xdr:colOff>
      <xdr:row>19</xdr:row>
      <xdr:rowOff>83820</xdr:rowOff>
    </xdr:from>
    <xdr:ext cx="1508760" cy="349596"/>
    <xdr:sp macro="" textlink="">
      <xdr:nvSpPr>
        <xdr:cNvPr id="10" name="TextBox 9">
          <a:extLst>
            <a:ext uri="{FF2B5EF4-FFF2-40B4-BE49-F238E27FC236}">
              <a16:creationId xmlns:a16="http://schemas.microsoft.com/office/drawing/2014/main" id="{DA581BFB-BEAE-C9CA-D43D-954AA48E36B2}"/>
            </a:ext>
          </a:extLst>
        </xdr:cNvPr>
        <xdr:cNvSpPr txBox="1"/>
      </xdr:nvSpPr>
      <xdr:spPr>
        <a:xfrm>
          <a:off x="5052060" y="3558540"/>
          <a:ext cx="1508760" cy="349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200" b="1">
            <a:solidFill>
              <a:schemeClr val="tx1"/>
            </a:solidFill>
          </a:endParaRPr>
        </a:p>
      </xdr:txBody>
    </xdr:sp>
    <xdr:clientData/>
  </xdr:oneCellAnchor>
  <xdr:oneCellAnchor>
    <xdr:from>
      <xdr:col>5</xdr:col>
      <xdr:colOff>579120</xdr:colOff>
      <xdr:row>16</xdr:row>
      <xdr:rowOff>76200</xdr:rowOff>
    </xdr:from>
    <xdr:ext cx="184731" cy="280205"/>
    <xdr:sp macro="" textlink="">
      <xdr:nvSpPr>
        <xdr:cNvPr id="11" name="TextBox 10">
          <a:extLst>
            <a:ext uri="{FF2B5EF4-FFF2-40B4-BE49-F238E27FC236}">
              <a16:creationId xmlns:a16="http://schemas.microsoft.com/office/drawing/2014/main" id="{5F10054D-F82A-9BF3-BCA4-FF4A4997E9A6}"/>
            </a:ext>
          </a:extLst>
        </xdr:cNvPr>
        <xdr:cNvSpPr txBox="1"/>
      </xdr:nvSpPr>
      <xdr:spPr>
        <a:xfrm>
          <a:off x="3627120" y="300228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200" b="1">
            <a:solidFill>
              <a:schemeClr val="tx1"/>
            </a:solidFill>
          </a:endParaRPr>
        </a:p>
      </xdr:txBody>
    </xdr:sp>
    <xdr:clientData/>
  </xdr:oneCellAnchor>
  <xdr:oneCellAnchor>
    <xdr:from>
      <xdr:col>8</xdr:col>
      <xdr:colOff>518160</xdr:colOff>
      <xdr:row>16</xdr:row>
      <xdr:rowOff>83820</xdr:rowOff>
    </xdr:from>
    <xdr:ext cx="184731" cy="280205"/>
    <xdr:sp macro="" textlink="">
      <xdr:nvSpPr>
        <xdr:cNvPr id="13" name="TextBox 12">
          <a:extLst>
            <a:ext uri="{FF2B5EF4-FFF2-40B4-BE49-F238E27FC236}">
              <a16:creationId xmlns:a16="http://schemas.microsoft.com/office/drawing/2014/main" id="{665AD66A-3EA9-A287-5C9B-8768ABC042FC}"/>
            </a:ext>
          </a:extLst>
        </xdr:cNvPr>
        <xdr:cNvSpPr txBox="1"/>
      </xdr:nvSpPr>
      <xdr:spPr>
        <a:xfrm>
          <a:off x="5394960" y="3009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200" b="1">
            <a:solidFill>
              <a:schemeClr val="tx1"/>
            </a:solidFill>
          </a:endParaRPr>
        </a:p>
      </xdr:txBody>
    </xdr:sp>
    <xdr:clientData/>
  </xdr:oneCellAnchor>
  <xdr:oneCellAnchor>
    <xdr:from>
      <xdr:col>12</xdr:col>
      <xdr:colOff>228600</xdr:colOff>
      <xdr:row>16</xdr:row>
      <xdr:rowOff>30480</xdr:rowOff>
    </xdr:from>
    <xdr:ext cx="184731" cy="280205"/>
    <xdr:sp macro="" textlink="">
      <xdr:nvSpPr>
        <xdr:cNvPr id="14" name="TextBox 13">
          <a:extLst>
            <a:ext uri="{FF2B5EF4-FFF2-40B4-BE49-F238E27FC236}">
              <a16:creationId xmlns:a16="http://schemas.microsoft.com/office/drawing/2014/main" id="{2A182764-1C11-2849-B6F3-C737BB6231A5}"/>
            </a:ext>
          </a:extLst>
        </xdr:cNvPr>
        <xdr:cNvSpPr txBox="1"/>
      </xdr:nvSpPr>
      <xdr:spPr>
        <a:xfrm>
          <a:off x="7543800" y="295656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200" b="1">
            <a:solidFill>
              <a:schemeClr val="tx1"/>
            </a:solidFill>
          </a:endParaRPr>
        </a:p>
      </xdr:txBody>
    </xdr:sp>
    <xdr:clientData/>
  </xdr:oneCellAnchor>
  <xdr:oneCellAnchor>
    <xdr:from>
      <xdr:col>16</xdr:col>
      <xdr:colOff>24184</xdr:colOff>
      <xdr:row>16</xdr:row>
      <xdr:rowOff>177756</xdr:rowOff>
    </xdr:from>
    <xdr:ext cx="184731" cy="280205"/>
    <xdr:sp macro="" textlink="">
      <xdr:nvSpPr>
        <xdr:cNvPr id="15" name="TextBox 14">
          <a:extLst>
            <a:ext uri="{FF2B5EF4-FFF2-40B4-BE49-F238E27FC236}">
              <a16:creationId xmlns:a16="http://schemas.microsoft.com/office/drawing/2014/main" id="{CE51D517-49FB-5189-0019-BBD9BBC9D039}"/>
            </a:ext>
          </a:extLst>
        </xdr:cNvPr>
        <xdr:cNvSpPr txBox="1"/>
      </xdr:nvSpPr>
      <xdr:spPr>
        <a:xfrm>
          <a:off x="9777784" y="3103836"/>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endParaRPr lang="en-US" sz="1200" b="1">
            <a:solidFill>
              <a:schemeClr val="tx1"/>
            </a:solidFill>
          </a:endParaRPr>
        </a:p>
      </xdr:txBody>
    </xdr:sp>
    <xdr:clientData/>
  </xdr:oneCellAnchor>
  <xdr:twoCellAnchor>
    <xdr:from>
      <xdr:col>3</xdr:col>
      <xdr:colOff>60960</xdr:colOff>
      <xdr:row>6</xdr:row>
      <xdr:rowOff>144780</xdr:rowOff>
    </xdr:from>
    <xdr:to>
      <xdr:col>6</xdr:col>
      <xdr:colOff>30480</xdr:colOff>
      <xdr:row>11</xdr:row>
      <xdr:rowOff>114300</xdr:rowOff>
    </xdr:to>
    <xdr:sp macro="" textlink="">
      <xdr:nvSpPr>
        <xdr:cNvPr id="16" name="Rectangle: Rounded Corners 15">
          <a:extLst>
            <a:ext uri="{FF2B5EF4-FFF2-40B4-BE49-F238E27FC236}">
              <a16:creationId xmlns:a16="http://schemas.microsoft.com/office/drawing/2014/main" id="{F224AF80-7336-4EE2-8372-43446797014F}"/>
            </a:ext>
          </a:extLst>
        </xdr:cNvPr>
        <xdr:cNvSpPr/>
      </xdr:nvSpPr>
      <xdr:spPr>
        <a:xfrm>
          <a:off x="1889760" y="1242060"/>
          <a:ext cx="1798320" cy="8839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381000</xdr:colOff>
      <xdr:row>6</xdr:row>
      <xdr:rowOff>137160</xdr:rowOff>
    </xdr:from>
    <xdr:to>
      <xdr:col>12</xdr:col>
      <xdr:colOff>350520</xdr:colOff>
      <xdr:row>11</xdr:row>
      <xdr:rowOff>106680</xdr:rowOff>
    </xdr:to>
    <xdr:sp macro="" textlink="">
      <xdr:nvSpPr>
        <xdr:cNvPr id="17" name="Rectangle: Rounded Corners 16">
          <a:extLst>
            <a:ext uri="{FF2B5EF4-FFF2-40B4-BE49-F238E27FC236}">
              <a16:creationId xmlns:a16="http://schemas.microsoft.com/office/drawing/2014/main" id="{3B4C1144-2F43-407C-AD4F-7603DA2AFED7}"/>
            </a:ext>
          </a:extLst>
        </xdr:cNvPr>
        <xdr:cNvSpPr/>
      </xdr:nvSpPr>
      <xdr:spPr>
        <a:xfrm>
          <a:off x="5867400" y="1234440"/>
          <a:ext cx="1798320" cy="8839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518160</xdr:colOff>
      <xdr:row>6</xdr:row>
      <xdr:rowOff>144780</xdr:rowOff>
    </xdr:from>
    <xdr:to>
      <xdr:col>15</xdr:col>
      <xdr:colOff>487680</xdr:colOff>
      <xdr:row>11</xdr:row>
      <xdr:rowOff>114300</xdr:rowOff>
    </xdr:to>
    <xdr:sp macro="" textlink="">
      <xdr:nvSpPr>
        <xdr:cNvPr id="18" name="Rectangle: Rounded Corners 17">
          <a:extLst>
            <a:ext uri="{FF2B5EF4-FFF2-40B4-BE49-F238E27FC236}">
              <a16:creationId xmlns:a16="http://schemas.microsoft.com/office/drawing/2014/main" id="{ACEB3739-5771-40FC-95AB-E96F84580B7C}"/>
            </a:ext>
          </a:extLst>
        </xdr:cNvPr>
        <xdr:cNvSpPr/>
      </xdr:nvSpPr>
      <xdr:spPr>
        <a:xfrm>
          <a:off x="7833360" y="1242060"/>
          <a:ext cx="1798320" cy="8839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xdr:colOff>
      <xdr:row>6</xdr:row>
      <xdr:rowOff>137160</xdr:rowOff>
    </xdr:from>
    <xdr:to>
      <xdr:col>19</xdr:col>
      <xdr:colOff>15240</xdr:colOff>
      <xdr:row>11</xdr:row>
      <xdr:rowOff>106680</xdr:rowOff>
    </xdr:to>
    <xdr:sp macro="" textlink="">
      <xdr:nvSpPr>
        <xdr:cNvPr id="19" name="Rectangle: Rounded Corners 18">
          <a:extLst>
            <a:ext uri="{FF2B5EF4-FFF2-40B4-BE49-F238E27FC236}">
              <a16:creationId xmlns:a16="http://schemas.microsoft.com/office/drawing/2014/main" id="{1EB6B118-BC16-4CEB-8E9E-41EC2DBBAE89}"/>
            </a:ext>
          </a:extLst>
        </xdr:cNvPr>
        <xdr:cNvSpPr/>
      </xdr:nvSpPr>
      <xdr:spPr>
        <a:xfrm>
          <a:off x="9799320" y="1234440"/>
          <a:ext cx="1798320" cy="8839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190500</xdr:colOff>
      <xdr:row>6</xdr:row>
      <xdr:rowOff>114300</xdr:rowOff>
    </xdr:from>
    <xdr:to>
      <xdr:col>22</xdr:col>
      <xdr:colOff>160020</xdr:colOff>
      <xdr:row>11</xdr:row>
      <xdr:rowOff>83820</xdr:rowOff>
    </xdr:to>
    <xdr:sp macro="" textlink="">
      <xdr:nvSpPr>
        <xdr:cNvPr id="20" name="Rectangle: Rounded Corners 19">
          <a:extLst>
            <a:ext uri="{FF2B5EF4-FFF2-40B4-BE49-F238E27FC236}">
              <a16:creationId xmlns:a16="http://schemas.microsoft.com/office/drawing/2014/main" id="{49A001A0-8004-49E2-9A19-959DA0F60A9B}"/>
            </a:ext>
          </a:extLst>
        </xdr:cNvPr>
        <xdr:cNvSpPr/>
      </xdr:nvSpPr>
      <xdr:spPr>
        <a:xfrm>
          <a:off x="11772900" y="1211580"/>
          <a:ext cx="1798320" cy="8839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358140</xdr:colOff>
      <xdr:row>7</xdr:row>
      <xdr:rowOff>38100</xdr:rowOff>
    </xdr:from>
    <xdr:ext cx="1143903" cy="280205"/>
    <xdr:sp macro="" textlink="">
      <xdr:nvSpPr>
        <xdr:cNvPr id="26" name="TextBox 25">
          <a:extLst>
            <a:ext uri="{FF2B5EF4-FFF2-40B4-BE49-F238E27FC236}">
              <a16:creationId xmlns:a16="http://schemas.microsoft.com/office/drawing/2014/main" id="{63A9BA15-DE5C-38C3-FE47-A468F4644598}"/>
            </a:ext>
          </a:extLst>
        </xdr:cNvPr>
        <xdr:cNvSpPr txBox="1"/>
      </xdr:nvSpPr>
      <xdr:spPr>
        <a:xfrm>
          <a:off x="2186940" y="1318260"/>
          <a:ext cx="114390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Total</a:t>
          </a:r>
          <a:r>
            <a:rPr lang="en-US" sz="1200" b="1" baseline="0">
              <a:solidFill>
                <a:schemeClr val="bg1"/>
              </a:solidFill>
            </a:rPr>
            <a:t> Revenue</a:t>
          </a:r>
          <a:endParaRPr lang="en-US" sz="1200" b="1">
            <a:solidFill>
              <a:schemeClr val="bg1"/>
            </a:solidFill>
          </a:endParaRPr>
        </a:p>
      </xdr:txBody>
    </xdr:sp>
    <xdr:clientData/>
  </xdr:oneCellAnchor>
  <xdr:oneCellAnchor>
    <xdr:from>
      <xdr:col>6</xdr:col>
      <xdr:colOff>579120</xdr:colOff>
      <xdr:row>7</xdr:row>
      <xdr:rowOff>53340</xdr:rowOff>
    </xdr:from>
    <xdr:ext cx="944426" cy="272585"/>
    <xdr:sp macro="" textlink="">
      <xdr:nvSpPr>
        <xdr:cNvPr id="27" name="TextBox 26">
          <a:extLst>
            <a:ext uri="{FF2B5EF4-FFF2-40B4-BE49-F238E27FC236}">
              <a16:creationId xmlns:a16="http://schemas.microsoft.com/office/drawing/2014/main" id="{A5788C34-D922-2AEC-735E-1438F6B8ABCF}"/>
            </a:ext>
          </a:extLst>
        </xdr:cNvPr>
        <xdr:cNvSpPr txBox="1"/>
      </xdr:nvSpPr>
      <xdr:spPr>
        <a:xfrm>
          <a:off x="4236720" y="1333500"/>
          <a:ext cx="944426" cy="272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chemeClr val="bg1"/>
              </a:solidFill>
            </a:rPr>
            <a:t>Total Profit</a:t>
          </a:r>
        </a:p>
      </xdr:txBody>
    </xdr:sp>
    <xdr:clientData/>
  </xdr:oneCellAnchor>
  <xdr:oneCellAnchor>
    <xdr:from>
      <xdr:col>10</xdr:col>
      <xdr:colOff>53340</xdr:colOff>
      <xdr:row>7</xdr:row>
      <xdr:rowOff>53340</xdr:rowOff>
    </xdr:from>
    <xdr:ext cx="1251176" cy="280205"/>
    <xdr:sp macro="" textlink="">
      <xdr:nvSpPr>
        <xdr:cNvPr id="30" name="TextBox 29">
          <a:extLst>
            <a:ext uri="{FF2B5EF4-FFF2-40B4-BE49-F238E27FC236}">
              <a16:creationId xmlns:a16="http://schemas.microsoft.com/office/drawing/2014/main" id="{1341D20E-3259-9DD0-AB9C-E58FCFC9FA61}"/>
            </a:ext>
          </a:extLst>
        </xdr:cNvPr>
        <xdr:cNvSpPr txBox="1"/>
      </xdr:nvSpPr>
      <xdr:spPr>
        <a:xfrm>
          <a:off x="6149340" y="1333500"/>
          <a:ext cx="125117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Total Units</a:t>
          </a:r>
          <a:r>
            <a:rPr lang="en-US" sz="1200" b="1" baseline="0">
              <a:solidFill>
                <a:schemeClr val="bg1"/>
              </a:solidFill>
            </a:rPr>
            <a:t> Sold</a:t>
          </a:r>
          <a:endParaRPr lang="en-US" sz="1200" b="1">
            <a:solidFill>
              <a:schemeClr val="bg1"/>
            </a:solidFill>
          </a:endParaRPr>
        </a:p>
      </xdr:txBody>
    </xdr:sp>
    <xdr:clientData/>
  </xdr:oneCellAnchor>
  <xdr:oneCellAnchor>
    <xdr:from>
      <xdr:col>13</xdr:col>
      <xdr:colOff>114300</xdr:colOff>
      <xdr:row>7</xdr:row>
      <xdr:rowOff>45720</xdr:rowOff>
    </xdr:from>
    <xdr:ext cx="1495425" cy="280205"/>
    <xdr:sp macro="" textlink="">
      <xdr:nvSpPr>
        <xdr:cNvPr id="31" name="TextBox 30">
          <a:extLst>
            <a:ext uri="{FF2B5EF4-FFF2-40B4-BE49-F238E27FC236}">
              <a16:creationId xmlns:a16="http://schemas.microsoft.com/office/drawing/2014/main" id="{62A5BF88-A15A-FA5D-11EF-1340A1AFB923}"/>
            </a:ext>
          </a:extLst>
        </xdr:cNvPr>
        <xdr:cNvSpPr txBox="1"/>
      </xdr:nvSpPr>
      <xdr:spPr>
        <a:xfrm>
          <a:off x="8039100" y="1325880"/>
          <a:ext cx="14954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No .of</a:t>
          </a:r>
          <a:r>
            <a:rPr lang="en-US" sz="1200" b="1" baseline="0">
              <a:solidFill>
                <a:schemeClr val="bg1"/>
              </a:solidFill>
            </a:rPr>
            <a:t> Transaction</a:t>
          </a:r>
          <a:endParaRPr lang="en-US" sz="1200" b="1">
            <a:solidFill>
              <a:schemeClr val="bg1"/>
            </a:solidFill>
          </a:endParaRPr>
        </a:p>
      </xdr:txBody>
    </xdr:sp>
    <xdr:clientData/>
  </xdr:oneCellAnchor>
  <xdr:oneCellAnchor>
    <xdr:from>
      <xdr:col>16</xdr:col>
      <xdr:colOff>281940</xdr:colOff>
      <xdr:row>7</xdr:row>
      <xdr:rowOff>0</xdr:rowOff>
    </xdr:from>
    <xdr:ext cx="1336584" cy="468077"/>
    <xdr:sp macro="" textlink="">
      <xdr:nvSpPr>
        <xdr:cNvPr id="32" name="TextBox 31">
          <a:extLst>
            <a:ext uri="{FF2B5EF4-FFF2-40B4-BE49-F238E27FC236}">
              <a16:creationId xmlns:a16="http://schemas.microsoft.com/office/drawing/2014/main" id="{D1438A0A-B92B-4C1E-931E-EC30EFD48666}"/>
            </a:ext>
          </a:extLst>
        </xdr:cNvPr>
        <xdr:cNvSpPr txBox="1"/>
      </xdr:nvSpPr>
      <xdr:spPr>
        <a:xfrm>
          <a:off x="10035540" y="1280160"/>
          <a:ext cx="1336584"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solidFill>
                <a:schemeClr val="bg1"/>
              </a:solidFill>
            </a:rPr>
            <a:t>Avg Revenue per </a:t>
          </a:r>
        </a:p>
        <a:p>
          <a:pPr algn="ctr"/>
          <a:r>
            <a:rPr lang="en-US" sz="1200" b="1">
              <a:solidFill>
                <a:schemeClr val="bg1"/>
              </a:solidFill>
            </a:rPr>
            <a:t>Transaction</a:t>
          </a:r>
        </a:p>
      </xdr:txBody>
    </xdr:sp>
    <xdr:clientData/>
  </xdr:oneCellAnchor>
  <xdr:oneCellAnchor>
    <xdr:from>
      <xdr:col>19</xdr:col>
      <xdr:colOff>472440</xdr:colOff>
      <xdr:row>7</xdr:row>
      <xdr:rowOff>7620</xdr:rowOff>
    </xdr:from>
    <xdr:ext cx="1168846" cy="468077"/>
    <xdr:sp macro="" textlink="">
      <xdr:nvSpPr>
        <xdr:cNvPr id="33" name="TextBox 32">
          <a:extLst>
            <a:ext uri="{FF2B5EF4-FFF2-40B4-BE49-F238E27FC236}">
              <a16:creationId xmlns:a16="http://schemas.microsoft.com/office/drawing/2014/main" id="{FB16C9E2-AE2E-E771-5973-3347692F3435}"/>
            </a:ext>
          </a:extLst>
        </xdr:cNvPr>
        <xdr:cNvSpPr txBox="1"/>
      </xdr:nvSpPr>
      <xdr:spPr>
        <a:xfrm>
          <a:off x="12054840" y="1287780"/>
          <a:ext cx="1168846"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solidFill>
                <a:schemeClr val="bg1"/>
              </a:solidFill>
            </a:rPr>
            <a:t>Avg Profit  per </a:t>
          </a:r>
        </a:p>
        <a:p>
          <a:pPr algn="ctr"/>
          <a:r>
            <a:rPr lang="en-US" sz="1200" b="1">
              <a:solidFill>
                <a:schemeClr val="bg1"/>
              </a:solidFill>
            </a:rPr>
            <a:t>Transaction</a:t>
          </a:r>
        </a:p>
      </xdr:txBody>
    </xdr:sp>
    <xdr:clientData/>
  </xdr:oneCellAnchor>
  <xdr:oneCellAnchor>
    <xdr:from>
      <xdr:col>5</xdr:col>
      <xdr:colOff>420951</xdr:colOff>
      <xdr:row>18</xdr:row>
      <xdr:rowOff>142640</xdr:rowOff>
    </xdr:from>
    <xdr:ext cx="1415469" cy="45719"/>
    <xdr:sp macro="" textlink="">
      <xdr:nvSpPr>
        <xdr:cNvPr id="34" name="TextBox 33">
          <a:extLst>
            <a:ext uri="{FF2B5EF4-FFF2-40B4-BE49-F238E27FC236}">
              <a16:creationId xmlns:a16="http://schemas.microsoft.com/office/drawing/2014/main" id="{8240B00E-88A3-EAE2-AC24-181D7FCD577D}"/>
            </a:ext>
          </a:extLst>
        </xdr:cNvPr>
        <xdr:cNvSpPr txBox="1"/>
      </xdr:nvSpPr>
      <xdr:spPr>
        <a:xfrm flipH="1">
          <a:off x="3468951" y="3434480"/>
          <a:ext cx="1415469"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60960</xdr:colOff>
      <xdr:row>19</xdr:row>
      <xdr:rowOff>144780</xdr:rowOff>
    </xdr:from>
    <xdr:ext cx="184731" cy="436786"/>
    <xdr:sp macro="" textlink="">
      <xdr:nvSpPr>
        <xdr:cNvPr id="35" name="TextBox 34">
          <a:extLst>
            <a:ext uri="{FF2B5EF4-FFF2-40B4-BE49-F238E27FC236}">
              <a16:creationId xmlns:a16="http://schemas.microsoft.com/office/drawing/2014/main" id="{DF87943A-4C64-860F-F260-71C34344D52A}"/>
            </a:ext>
          </a:extLst>
        </xdr:cNvPr>
        <xdr:cNvSpPr txBox="1"/>
      </xdr:nvSpPr>
      <xdr:spPr>
        <a:xfrm>
          <a:off x="3108960" y="361950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a:p>
          <a:endParaRPr lang="en-US" sz="1100"/>
        </a:p>
      </xdr:txBody>
    </xdr:sp>
    <xdr:clientData/>
  </xdr:oneCellAnchor>
  <xdr:oneCellAnchor>
    <xdr:from>
      <xdr:col>5</xdr:col>
      <xdr:colOff>236220</xdr:colOff>
      <xdr:row>16</xdr:row>
      <xdr:rowOff>175260</xdr:rowOff>
    </xdr:from>
    <xdr:ext cx="184731" cy="280205"/>
    <xdr:sp macro="" textlink="">
      <xdr:nvSpPr>
        <xdr:cNvPr id="36" name="TextBox 35">
          <a:extLst>
            <a:ext uri="{FF2B5EF4-FFF2-40B4-BE49-F238E27FC236}">
              <a16:creationId xmlns:a16="http://schemas.microsoft.com/office/drawing/2014/main" id="{86D0C387-464E-AEEC-70EF-40B513EB26BB}"/>
            </a:ext>
          </a:extLst>
        </xdr:cNvPr>
        <xdr:cNvSpPr txBox="1"/>
      </xdr:nvSpPr>
      <xdr:spPr>
        <a:xfrm>
          <a:off x="3284220" y="310134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200" b="1"/>
        </a:p>
      </xdr:txBody>
    </xdr:sp>
    <xdr:clientData/>
  </xdr:oneCellAnchor>
  <xdr:oneCellAnchor>
    <xdr:from>
      <xdr:col>4</xdr:col>
      <xdr:colOff>403860</xdr:colOff>
      <xdr:row>17</xdr:row>
      <xdr:rowOff>152400</xdr:rowOff>
    </xdr:from>
    <xdr:ext cx="184731" cy="264560"/>
    <xdr:sp macro="" textlink="">
      <xdr:nvSpPr>
        <xdr:cNvPr id="37" name="TextBox 36">
          <a:extLst>
            <a:ext uri="{FF2B5EF4-FFF2-40B4-BE49-F238E27FC236}">
              <a16:creationId xmlns:a16="http://schemas.microsoft.com/office/drawing/2014/main" id="{BF7ADC9A-5FAA-FA8D-DF2B-0262BD95FD68}"/>
            </a:ext>
          </a:extLst>
        </xdr:cNvPr>
        <xdr:cNvSpPr txBox="1"/>
      </xdr:nvSpPr>
      <xdr:spPr>
        <a:xfrm>
          <a:off x="2842260" y="3261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510540</xdr:colOff>
      <xdr:row>17</xdr:row>
      <xdr:rowOff>7620</xdr:rowOff>
    </xdr:from>
    <xdr:ext cx="184731" cy="264560"/>
    <xdr:sp macro="" textlink="">
      <xdr:nvSpPr>
        <xdr:cNvPr id="38" name="TextBox 37">
          <a:extLst>
            <a:ext uri="{FF2B5EF4-FFF2-40B4-BE49-F238E27FC236}">
              <a16:creationId xmlns:a16="http://schemas.microsoft.com/office/drawing/2014/main" id="{DB11666F-426A-AA6D-7B7A-C7A60AD6777E}"/>
            </a:ext>
          </a:extLst>
        </xdr:cNvPr>
        <xdr:cNvSpPr txBox="1"/>
      </xdr:nvSpPr>
      <xdr:spPr>
        <a:xfrm>
          <a:off x="2948940" y="3116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304800</xdr:colOff>
      <xdr:row>23</xdr:row>
      <xdr:rowOff>167640</xdr:rowOff>
    </xdr:from>
    <xdr:ext cx="184731" cy="264560"/>
    <xdr:sp macro="" textlink="">
      <xdr:nvSpPr>
        <xdr:cNvPr id="3" name="TextBox 2">
          <a:extLst>
            <a:ext uri="{FF2B5EF4-FFF2-40B4-BE49-F238E27FC236}">
              <a16:creationId xmlns:a16="http://schemas.microsoft.com/office/drawing/2014/main" id="{426FCA66-CC6E-FD9E-92EA-5377D23FB5F5}"/>
            </a:ext>
          </a:extLst>
        </xdr:cNvPr>
        <xdr:cNvSpPr txBox="1"/>
      </xdr:nvSpPr>
      <xdr:spPr>
        <a:xfrm>
          <a:off x="5181600" y="4373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525780</xdr:colOff>
      <xdr:row>18</xdr:row>
      <xdr:rowOff>0</xdr:rowOff>
    </xdr:from>
    <xdr:ext cx="645498" cy="356000"/>
    <xdr:sp macro="" textlink="">
      <xdr:nvSpPr>
        <xdr:cNvPr id="4" name="TextBox 3">
          <a:extLst>
            <a:ext uri="{FF2B5EF4-FFF2-40B4-BE49-F238E27FC236}">
              <a16:creationId xmlns:a16="http://schemas.microsoft.com/office/drawing/2014/main" id="{95BAC2F3-AED2-C6B0-4C99-BD9D4180E482}"/>
            </a:ext>
          </a:extLst>
        </xdr:cNvPr>
        <xdr:cNvSpPr txBox="1"/>
      </xdr:nvSpPr>
      <xdr:spPr>
        <a:xfrm>
          <a:off x="2354580" y="3291840"/>
          <a:ext cx="645498" cy="35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a:p>
      </xdr:txBody>
    </xdr:sp>
    <xdr:clientData/>
  </xdr:oneCellAnchor>
  <xdr:oneCellAnchor>
    <xdr:from>
      <xdr:col>3</xdr:col>
      <xdr:colOff>525780</xdr:colOff>
      <xdr:row>9</xdr:row>
      <xdr:rowOff>30403</xdr:rowOff>
    </xdr:from>
    <xdr:ext cx="680699" cy="264560"/>
    <xdr:sp macro="" textlink="">
      <xdr:nvSpPr>
        <xdr:cNvPr id="6" name="TextBox 5">
          <a:extLst>
            <a:ext uri="{FF2B5EF4-FFF2-40B4-BE49-F238E27FC236}">
              <a16:creationId xmlns:a16="http://schemas.microsoft.com/office/drawing/2014/main" id="{D6686095-F94D-190F-CE60-82F449DFB4D4}"/>
            </a:ext>
          </a:extLst>
        </xdr:cNvPr>
        <xdr:cNvSpPr txBox="1"/>
      </xdr:nvSpPr>
      <xdr:spPr>
        <a:xfrm>
          <a:off x="2349962" y="1692948"/>
          <a:ext cx="6806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bg1"/>
              </a:solidFill>
              <a:effectLst/>
              <a:latin typeface="+mn-lt"/>
              <a:ea typeface="+mn-ea"/>
              <a:cs typeface="+mn-cs"/>
            </a:rPr>
            <a:t>197,600</a:t>
          </a:r>
          <a:r>
            <a:rPr lang="en-US">
              <a:solidFill>
                <a:schemeClr val="bg1"/>
              </a:solidFill>
              <a:effectLst/>
            </a:rPr>
            <a:t> </a:t>
          </a:r>
          <a:endParaRPr lang="en-US" sz="1100">
            <a:solidFill>
              <a:schemeClr val="bg1"/>
            </a:solidFill>
          </a:endParaRPr>
        </a:p>
      </xdr:txBody>
    </xdr:sp>
    <xdr:clientData/>
  </xdr:oneCellAnchor>
  <xdr:oneCellAnchor>
    <xdr:from>
      <xdr:col>7</xdr:col>
      <xdr:colOff>160636</xdr:colOff>
      <xdr:row>9</xdr:row>
      <xdr:rowOff>7082</xdr:rowOff>
    </xdr:from>
    <xdr:ext cx="609206" cy="264560"/>
    <xdr:sp macro="" textlink="">
      <xdr:nvSpPr>
        <xdr:cNvPr id="7" name="TextBox 6">
          <a:extLst>
            <a:ext uri="{FF2B5EF4-FFF2-40B4-BE49-F238E27FC236}">
              <a16:creationId xmlns:a16="http://schemas.microsoft.com/office/drawing/2014/main" id="{2A173DF1-5812-EEE2-3542-80A1EEBCDB30}"/>
            </a:ext>
          </a:extLst>
        </xdr:cNvPr>
        <xdr:cNvSpPr txBox="1"/>
      </xdr:nvSpPr>
      <xdr:spPr>
        <a:xfrm>
          <a:off x="4417060" y="1669627"/>
          <a:ext cx="6092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bg1"/>
              </a:solidFill>
              <a:effectLst/>
              <a:latin typeface="+mn-lt"/>
              <a:ea typeface="+mn-ea"/>
              <a:cs typeface="+mn-cs"/>
            </a:rPr>
            <a:t>66,200</a:t>
          </a:r>
          <a:r>
            <a:rPr lang="en-US">
              <a:solidFill>
                <a:schemeClr val="bg1"/>
              </a:solidFill>
              <a:effectLst/>
            </a:rPr>
            <a:t> </a:t>
          </a:r>
          <a:endParaRPr lang="en-US" sz="1100">
            <a:solidFill>
              <a:schemeClr val="bg1"/>
            </a:solidFill>
          </a:endParaRPr>
        </a:p>
      </xdr:txBody>
    </xdr:sp>
    <xdr:clientData/>
  </xdr:oneCellAnchor>
  <xdr:oneCellAnchor>
    <xdr:from>
      <xdr:col>10</xdr:col>
      <xdr:colOff>403860</xdr:colOff>
      <xdr:row>9</xdr:row>
      <xdr:rowOff>30480</xdr:rowOff>
    </xdr:from>
    <xdr:ext cx="359522" cy="264560"/>
    <xdr:sp macro="" textlink="">
      <xdr:nvSpPr>
        <xdr:cNvPr id="12" name="TextBox 11">
          <a:extLst>
            <a:ext uri="{FF2B5EF4-FFF2-40B4-BE49-F238E27FC236}">
              <a16:creationId xmlns:a16="http://schemas.microsoft.com/office/drawing/2014/main" id="{B5FA5997-DEB6-5093-026A-818EBFC1E66F}"/>
            </a:ext>
          </a:extLst>
        </xdr:cNvPr>
        <xdr:cNvSpPr txBox="1"/>
      </xdr:nvSpPr>
      <xdr:spPr>
        <a:xfrm>
          <a:off x="6499860" y="1676400"/>
          <a:ext cx="3595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bg1"/>
              </a:solidFill>
              <a:effectLst/>
              <a:latin typeface="+mn-lt"/>
              <a:ea typeface="+mn-ea"/>
              <a:cs typeface="+mn-cs"/>
            </a:rPr>
            <a:t>50</a:t>
          </a:r>
          <a:r>
            <a:rPr lang="en-US">
              <a:effectLst/>
            </a:rPr>
            <a:t> </a:t>
          </a:r>
          <a:endParaRPr lang="en-US" sz="1100"/>
        </a:p>
      </xdr:txBody>
    </xdr:sp>
    <xdr:clientData/>
  </xdr:oneCellAnchor>
  <xdr:oneCellAnchor>
    <xdr:from>
      <xdr:col>13</xdr:col>
      <xdr:colOff>572270</xdr:colOff>
      <xdr:row>9</xdr:row>
      <xdr:rowOff>23091</xdr:rowOff>
    </xdr:from>
    <xdr:ext cx="359522" cy="294732"/>
    <xdr:sp macro="" textlink="">
      <xdr:nvSpPr>
        <xdr:cNvPr id="21" name="TextBox 20">
          <a:extLst>
            <a:ext uri="{FF2B5EF4-FFF2-40B4-BE49-F238E27FC236}">
              <a16:creationId xmlns:a16="http://schemas.microsoft.com/office/drawing/2014/main" id="{75669DC8-4718-F5B0-B964-0A5E5B6F38AC}"/>
            </a:ext>
          </a:extLst>
        </xdr:cNvPr>
        <xdr:cNvSpPr txBox="1"/>
      </xdr:nvSpPr>
      <xdr:spPr>
        <a:xfrm>
          <a:off x="8477058" y="1685636"/>
          <a:ext cx="359522" cy="294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i="0" u="none" strike="noStrike">
              <a:solidFill>
                <a:schemeClr val="bg1"/>
              </a:solidFill>
              <a:effectLst/>
              <a:latin typeface="+mn-lt"/>
              <a:ea typeface="+mn-ea"/>
              <a:cs typeface="+mn-cs"/>
            </a:rPr>
            <a:t>20</a:t>
          </a:r>
          <a:r>
            <a:rPr lang="en-US">
              <a:solidFill>
                <a:schemeClr val="bg1"/>
              </a:solidFill>
              <a:effectLst/>
            </a:rPr>
            <a:t> </a:t>
          </a:r>
          <a:endParaRPr lang="en-US" sz="1100">
            <a:solidFill>
              <a:schemeClr val="bg1"/>
            </a:solidFill>
          </a:endParaRPr>
        </a:p>
      </xdr:txBody>
    </xdr:sp>
    <xdr:clientData/>
  </xdr:oneCellAnchor>
  <xdr:oneCellAnchor>
    <xdr:from>
      <xdr:col>17</xdr:col>
      <xdr:colOff>48184</xdr:colOff>
      <xdr:row>9</xdr:row>
      <xdr:rowOff>53417</xdr:rowOff>
    </xdr:from>
    <xdr:ext cx="537711" cy="264560"/>
    <xdr:sp macro="" textlink="">
      <xdr:nvSpPr>
        <xdr:cNvPr id="22" name="TextBox 21">
          <a:extLst>
            <a:ext uri="{FF2B5EF4-FFF2-40B4-BE49-F238E27FC236}">
              <a16:creationId xmlns:a16="http://schemas.microsoft.com/office/drawing/2014/main" id="{9CAABA68-8A17-55C0-4EC8-5843480B5211}"/>
            </a:ext>
          </a:extLst>
        </xdr:cNvPr>
        <xdr:cNvSpPr txBox="1"/>
      </xdr:nvSpPr>
      <xdr:spPr>
        <a:xfrm>
          <a:off x="10385214" y="1715962"/>
          <a:ext cx="5377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bg1"/>
              </a:solidFill>
              <a:effectLst/>
              <a:latin typeface="+mn-lt"/>
              <a:ea typeface="+mn-ea"/>
              <a:cs typeface="+mn-cs"/>
            </a:rPr>
            <a:t>9,880</a:t>
          </a:r>
          <a:r>
            <a:rPr lang="en-US">
              <a:solidFill>
                <a:schemeClr val="bg1"/>
              </a:solidFill>
              <a:effectLst/>
            </a:rPr>
            <a:t> </a:t>
          </a:r>
          <a:endParaRPr lang="en-US" sz="1100">
            <a:solidFill>
              <a:schemeClr val="bg1"/>
            </a:solidFill>
          </a:endParaRPr>
        </a:p>
      </xdr:txBody>
    </xdr:sp>
    <xdr:clientData/>
  </xdr:oneCellAnchor>
  <xdr:oneCellAnchor>
    <xdr:from>
      <xdr:col>20</xdr:col>
      <xdr:colOff>137853</xdr:colOff>
      <xdr:row>9</xdr:row>
      <xdr:rowOff>45797</xdr:rowOff>
    </xdr:from>
    <xdr:ext cx="609206" cy="302660"/>
    <xdr:sp macro="" textlink="">
      <xdr:nvSpPr>
        <xdr:cNvPr id="23" name="TextBox 22">
          <a:extLst>
            <a:ext uri="{FF2B5EF4-FFF2-40B4-BE49-F238E27FC236}">
              <a16:creationId xmlns:a16="http://schemas.microsoft.com/office/drawing/2014/main" id="{0B183341-F79D-BACF-B13E-415CC97998B5}"/>
            </a:ext>
          </a:extLst>
        </xdr:cNvPr>
        <xdr:cNvSpPr txBox="1"/>
      </xdr:nvSpPr>
      <xdr:spPr>
        <a:xfrm>
          <a:off x="12299065" y="1708342"/>
          <a:ext cx="609206" cy="302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i="0" u="none" strike="noStrike">
              <a:solidFill>
                <a:schemeClr val="bg1"/>
              </a:solidFill>
              <a:effectLst/>
              <a:latin typeface="+mn-lt"/>
              <a:ea typeface="+mn-ea"/>
              <a:cs typeface="+mn-cs"/>
            </a:rPr>
            <a:t>3,310</a:t>
          </a:r>
          <a:r>
            <a:rPr lang="en-US">
              <a:solidFill>
                <a:schemeClr val="bg1"/>
              </a:solidFill>
              <a:effectLst/>
            </a:rPr>
            <a:t> </a:t>
          </a:r>
          <a:endParaRPr lang="en-US" sz="1100">
            <a:solidFill>
              <a:schemeClr val="bg1"/>
            </a:solidFill>
          </a:endParaRPr>
        </a:p>
      </xdr:txBody>
    </xdr:sp>
    <xdr:clientData/>
  </xdr:oneCellAnchor>
  <xdr:twoCellAnchor>
    <xdr:from>
      <xdr:col>6</xdr:col>
      <xdr:colOff>586740</xdr:colOff>
      <xdr:row>12</xdr:row>
      <xdr:rowOff>91440</xdr:rowOff>
    </xdr:from>
    <xdr:to>
      <xdr:col>14</xdr:col>
      <xdr:colOff>281940</xdr:colOff>
      <xdr:row>27</xdr:row>
      <xdr:rowOff>91440</xdr:rowOff>
    </xdr:to>
    <xdr:graphicFrame macro="">
      <xdr:nvGraphicFramePr>
        <xdr:cNvPr id="24" name="Chart 23">
          <a:extLst>
            <a:ext uri="{FF2B5EF4-FFF2-40B4-BE49-F238E27FC236}">
              <a16:creationId xmlns:a16="http://schemas.microsoft.com/office/drawing/2014/main" id="{9B0BBC61-43ED-4A1D-AB54-CEFE0E899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12</xdr:row>
      <xdr:rowOff>60960</xdr:rowOff>
    </xdr:from>
    <xdr:to>
      <xdr:col>22</xdr:col>
      <xdr:colOff>91440</xdr:colOff>
      <xdr:row>27</xdr:row>
      <xdr:rowOff>76200</xdr:rowOff>
    </xdr:to>
    <xdr:graphicFrame macro="">
      <xdr:nvGraphicFramePr>
        <xdr:cNvPr id="25" name="Chart 24">
          <a:extLst>
            <a:ext uri="{FF2B5EF4-FFF2-40B4-BE49-F238E27FC236}">
              <a16:creationId xmlns:a16="http://schemas.microsoft.com/office/drawing/2014/main" id="{9D8D902E-B981-41AA-A97A-EF0769728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83820</xdr:colOff>
      <xdr:row>28</xdr:row>
      <xdr:rowOff>76200</xdr:rowOff>
    </xdr:from>
    <xdr:to>
      <xdr:col>22</xdr:col>
      <xdr:colOff>115455</xdr:colOff>
      <xdr:row>43</xdr:row>
      <xdr:rowOff>76200</xdr:rowOff>
    </xdr:to>
    <xdr:graphicFrame macro="">
      <xdr:nvGraphicFramePr>
        <xdr:cNvPr id="28" name="Chart 27">
          <a:extLst>
            <a:ext uri="{FF2B5EF4-FFF2-40B4-BE49-F238E27FC236}">
              <a16:creationId xmlns:a16="http://schemas.microsoft.com/office/drawing/2014/main" id="{B3E697FB-6078-4A8D-AB9E-5E75DCFF5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601980</xdr:colOff>
      <xdr:row>28</xdr:row>
      <xdr:rowOff>83820</xdr:rowOff>
    </xdr:from>
    <xdr:to>
      <xdr:col>14</xdr:col>
      <xdr:colOff>259080</xdr:colOff>
      <xdr:row>43</xdr:row>
      <xdr:rowOff>83820</xdr:rowOff>
    </xdr:to>
    <xdr:graphicFrame macro="">
      <xdr:nvGraphicFramePr>
        <xdr:cNvPr id="29" name="Chart 28">
          <a:extLst>
            <a:ext uri="{FF2B5EF4-FFF2-40B4-BE49-F238E27FC236}">
              <a16:creationId xmlns:a16="http://schemas.microsoft.com/office/drawing/2014/main" id="{0CC8EA18-A835-4988-9AE2-9F6D8472D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99829</xdr:colOff>
      <xdr:row>32</xdr:row>
      <xdr:rowOff>99060</xdr:rowOff>
    </xdr:from>
    <xdr:to>
      <xdr:col>6</xdr:col>
      <xdr:colOff>99829</xdr:colOff>
      <xdr:row>39</xdr:row>
      <xdr:rowOff>83819</xdr:rowOff>
    </xdr:to>
    <mc:AlternateContent xmlns:mc="http://schemas.openxmlformats.org/markup-compatibility/2006" xmlns:a14="http://schemas.microsoft.com/office/drawing/2010/main">
      <mc:Choice Requires="a14">
        <xdr:graphicFrame macro="">
          <xdr:nvGraphicFramePr>
            <xdr:cNvPr id="40" name="Salesperson">
              <a:extLst>
                <a:ext uri="{FF2B5EF4-FFF2-40B4-BE49-F238E27FC236}">
                  <a16:creationId xmlns:a16="http://schemas.microsoft.com/office/drawing/2014/main" id="{B39DA85F-9135-9ED0-98A6-274591AA8F7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924011" y="6010333"/>
              <a:ext cx="1824182" cy="127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115147</xdr:colOff>
      <xdr:row>24</xdr:row>
      <xdr:rowOff>91825</xdr:rowOff>
    </xdr:from>
    <xdr:to>
      <xdr:col>6</xdr:col>
      <xdr:colOff>78586</xdr:colOff>
      <xdr:row>31</xdr:row>
      <xdr:rowOff>21398</xdr:rowOff>
    </xdr:to>
    <mc:AlternateContent xmlns:mc="http://schemas.openxmlformats.org/markup-compatibility/2006" xmlns:a14="http://schemas.microsoft.com/office/drawing/2010/main">
      <mc:Choice Requires="a14">
        <xdr:graphicFrame macro="">
          <xdr:nvGraphicFramePr>
            <xdr:cNvPr id="41" name="Payment Method">
              <a:extLst>
                <a:ext uri="{FF2B5EF4-FFF2-40B4-BE49-F238E27FC236}">
                  <a16:creationId xmlns:a16="http://schemas.microsoft.com/office/drawing/2014/main" id="{B98EDADB-E46E-F7FC-129E-DFE999682CF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939329" y="4525280"/>
              <a:ext cx="1787621" cy="1222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99754</xdr:colOff>
      <xdr:row>19</xdr:row>
      <xdr:rowOff>83052</xdr:rowOff>
    </xdr:from>
    <xdr:to>
      <xdr:col>6</xdr:col>
      <xdr:colOff>99754</xdr:colOff>
      <xdr:row>23</xdr:row>
      <xdr:rowOff>37331</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D34C03F7-1E81-2BD7-949A-B4C2F44AC9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23936" y="3592870"/>
              <a:ext cx="1824182" cy="693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107527</xdr:colOff>
      <xdr:row>12</xdr:row>
      <xdr:rowOff>106758</xdr:rowOff>
    </xdr:from>
    <xdr:to>
      <xdr:col>6</xdr:col>
      <xdr:colOff>78586</xdr:colOff>
      <xdr:row>18</xdr:row>
      <xdr:rowOff>22937</xdr:rowOff>
    </xdr:to>
    <mc:AlternateContent xmlns:mc="http://schemas.openxmlformats.org/markup-compatibility/2006" xmlns:a14="http://schemas.microsoft.com/office/drawing/2010/main">
      <mc:Choice Requires="a14">
        <xdr:graphicFrame macro="">
          <xdr:nvGraphicFramePr>
            <xdr:cNvPr id="43" name="City">
              <a:extLst>
                <a:ext uri="{FF2B5EF4-FFF2-40B4-BE49-F238E27FC236}">
                  <a16:creationId xmlns:a16="http://schemas.microsoft.com/office/drawing/2014/main" id="{A4B6C437-D5A4-9B21-024A-EE66EC39D3C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31709" y="2323485"/>
              <a:ext cx="1795241" cy="1024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eev K" refreshedDate="46300.823179976855" createdVersion="8" refreshedVersion="8" minRefreshableVersion="3" recordCount="20" xr:uid="{EB5BD787-9E89-40EA-ABD3-8DDA2CC086F3}">
  <cacheSource type="worksheet">
    <worksheetSource name="Sales_Performance"/>
  </cacheSource>
  <cacheFields count="23">
    <cacheField name="Order ID" numFmtId="0">
      <sharedItems/>
    </cacheField>
    <cacheField name="Date" numFmtId="15">
      <sharedItems containsSemiMixedTypes="0" containsNonDate="0" containsDate="1" containsString="0" minDate="2025-01-05T00:00:00" maxDate="2025-01-25T00:00:00"/>
    </cacheField>
    <cacheField name="Customer Name" numFmtId="15">
      <sharedItems count="18">
        <s v="Rahul Sharma"/>
        <s v="Priya Reddy"/>
        <s v="Aman Khan"/>
        <s v="Sneha Rao"/>
        <s v="Arjun Mehta"/>
        <s v="Ayesha Ali"/>
        <s v="Rohit Kumar"/>
        <s v="Neha Verma"/>
        <s v="Kiran Rao"/>
        <s v="Sana Khan"/>
        <s v="Vivek Patel"/>
        <s v="Meera Singh"/>
        <s v="Farhan Ali"/>
        <s v="Nisha Das"/>
        <s v="Ravi Kumar"/>
        <s v="Pooja Rao"/>
        <s v="Imran Khan"/>
        <s v="Divya Shah"/>
      </sharedItems>
    </cacheField>
    <cacheField name="City" numFmtId="0">
      <sharedItems count="3">
        <s v="Hyderabad"/>
        <s v="Mumbai"/>
        <s v="Delhi"/>
      </sharedItems>
    </cacheField>
    <cacheField name="Product Code" numFmtId="0">
      <sharedItems/>
    </cacheField>
    <cacheField name="Units" numFmtId="0">
      <sharedItems containsSemiMixedTypes="0" containsString="0" containsNumber="1" containsInteger="1" minValue="1" maxValue="5"/>
    </cacheField>
    <cacheField name="Salesperson" numFmtId="0">
      <sharedItems count="4">
        <s v="Rahul"/>
        <s v="Priya"/>
        <s v="Aman"/>
        <s v="Neha"/>
      </sharedItems>
    </cacheField>
    <cacheField name="Payment Method" numFmtId="0">
      <sharedItems count="4">
        <s v="UPI"/>
        <s v="Card"/>
        <s v="Cash"/>
        <s v="Unknown"/>
      </sharedItems>
    </cacheField>
    <cacheField name="Order Prefix" numFmtId="0">
      <sharedItems/>
    </cacheField>
    <cacheField name="Year Component" numFmtId="0">
      <sharedItems/>
    </cacheField>
    <cacheField name="Order Number" numFmtId="0">
      <sharedItems/>
    </cacheField>
    <cacheField name="Customer Label" numFmtId="0">
      <sharedItems/>
    </cacheField>
    <cacheField name="Product" numFmtId="0">
      <sharedItems count="6">
        <s v="Laptop Stand"/>
        <s v="Wireless Mouse"/>
        <s v="Keyboard"/>
        <s v="Monitor"/>
        <s v="Headset"/>
        <s v="Webcam"/>
      </sharedItems>
    </cacheField>
    <cacheField name="Category" numFmtId="0">
      <sharedItems count="2">
        <s v="Accessories"/>
        <s v="Electronics"/>
      </sharedItems>
    </cacheField>
    <cacheField name="Unit Price" numFmtId="0">
      <sharedItems containsSemiMixedTypes="0" containsString="0" containsNumber="1" containsInteger="1" minValue="800" maxValue="12000"/>
    </cacheField>
    <cacheField name="Cost per Unit" numFmtId="0">
      <sharedItems containsSemiMixedTypes="0" containsString="0" containsNumber="1" containsInteger="1" minValue="450" maxValue="8500"/>
    </cacheField>
    <cacheField name="Region" numFmtId="0">
      <sharedItems/>
    </cacheField>
    <cacheField name="Revenue" numFmtId="0">
      <sharedItems containsSemiMixedTypes="0" containsString="0" containsNumber="1" containsInteger="1" minValue="800" maxValue="48000"/>
    </cacheField>
    <cacheField name="Total Cost" numFmtId="0">
      <sharedItems containsSemiMixedTypes="0" containsString="0" containsNumber="1" containsInteger="1" minValue="450" maxValue="34000"/>
    </cacheField>
    <cacheField name="Profit" numFmtId="0">
      <sharedItems containsSemiMixedTypes="0" containsString="0" containsNumber="1" containsInteger="1" minValue="350" maxValue="14000"/>
    </cacheField>
    <cacheField name="Profit Margin" numFmtId="10">
      <sharedItems containsSemiMixedTypes="0" containsString="0" containsNumber="1" minValue="0.29166666666666669" maxValue="0.4375"/>
    </cacheField>
    <cacheField name="Performance" numFmtId="0">
      <sharedItems/>
    </cacheField>
    <cacheField name="Transaction Review" numFmtId="0">
      <sharedItems/>
    </cacheField>
  </cacheFields>
  <extLst>
    <ext xmlns:x14="http://schemas.microsoft.com/office/spreadsheetml/2009/9/main" uri="{725AE2AE-9491-48be-B2B4-4EB974FC3084}">
      <x14:pivotCacheDefinition pivotCacheId="209621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HYD25-001"/>
    <d v="2025-01-05T00:00:00"/>
    <x v="0"/>
    <x v="0"/>
    <s v="P101"/>
    <n v="2"/>
    <x v="0"/>
    <x v="0"/>
    <s v="HYD"/>
    <s v="25"/>
    <s v="001"/>
    <s v="Rahul Sharma-Hyderabad"/>
    <x v="0"/>
    <x v="0"/>
    <n v="1200"/>
    <n v="800"/>
    <s v="South"/>
    <n v="2400"/>
    <n v="1600"/>
    <n v="800"/>
    <n v="0.33333333333333331"/>
    <s v="High Performance"/>
    <s v="Rivew"/>
  </r>
  <r>
    <s v="MUM25-002"/>
    <d v="2025-01-06T00:00:00"/>
    <x v="1"/>
    <x v="1"/>
    <s v="P102"/>
    <n v="3"/>
    <x v="1"/>
    <x v="1"/>
    <s v="MUM"/>
    <s v="25"/>
    <s v="002"/>
    <s v="Priya Reddy-Mumbai"/>
    <x v="1"/>
    <x v="0"/>
    <n v="800"/>
    <n v="450"/>
    <s v="West"/>
    <n v="2400"/>
    <n v="1350"/>
    <n v="1050"/>
    <n v="0.4375"/>
    <s v="High Performance"/>
    <s v="Rivew"/>
  </r>
  <r>
    <s v="DEL25-003"/>
    <d v="2025-01-07T00:00:00"/>
    <x v="2"/>
    <x v="2"/>
    <s v="P103"/>
    <n v="1"/>
    <x v="2"/>
    <x v="2"/>
    <s v="DEL"/>
    <s v="25"/>
    <s v="003"/>
    <s v="Aman Khan-Delhi"/>
    <x v="2"/>
    <x v="0"/>
    <n v="1500"/>
    <n v="900"/>
    <s v="North"/>
    <n v="1500"/>
    <n v="900"/>
    <n v="600"/>
    <n v="0.4"/>
    <s v="Regular"/>
    <s v="Rivew"/>
  </r>
  <r>
    <s v="HYD25-004"/>
    <d v="2025-01-08T00:00:00"/>
    <x v="3"/>
    <x v="0"/>
    <s v="P104"/>
    <n v="4"/>
    <x v="0"/>
    <x v="0"/>
    <s v="HYD"/>
    <s v="25"/>
    <s v="004"/>
    <s v="Sneha Rao-Hyderabad"/>
    <x v="3"/>
    <x v="1"/>
    <n v="12000"/>
    <n v="8500"/>
    <s v="South"/>
    <n v="48000"/>
    <n v="34000"/>
    <n v="14000"/>
    <n v="0.29166666666666669"/>
    <s v="High Performance"/>
    <s v="Rivew"/>
  </r>
  <r>
    <s v="MUM25-005"/>
    <d v="2025-01-09T00:00:00"/>
    <x v="4"/>
    <x v="1"/>
    <s v="P101"/>
    <n v="1"/>
    <x v="1"/>
    <x v="1"/>
    <s v="MUM"/>
    <s v="25"/>
    <s v="005"/>
    <s v="Arjun Mehta-Mumbai"/>
    <x v="0"/>
    <x v="0"/>
    <n v="1200"/>
    <n v="800"/>
    <s v="West"/>
    <n v="1200"/>
    <n v="800"/>
    <n v="400"/>
    <n v="0.33333333333333331"/>
    <s v="Regular"/>
    <s v="Normal"/>
  </r>
  <r>
    <s v="DEL25-006"/>
    <d v="2025-01-10T00:00:00"/>
    <x v="5"/>
    <x v="2"/>
    <s v="P105"/>
    <n v="5"/>
    <x v="3"/>
    <x v="0"/>
    <s v="DEL"/>
    <s v="25"/>
    <s v="006"/>
    <s v="Ayesha Ali-Delhi"/>
    <x v="4"/>
    <x v="1"/>
    <n v="3000"/>
    <n v="1800"/>
    <s v="North"/>
    <n v="15000"/>
    <n v="9000"/>
    <n v="6000"/>
    <n v="0.4"/>
    <s v="High Performance"/>
    <s v="Rivew"/>
  </r>
  <r>
    <s v="HYD25-007"/>
    <d v="2025-01-11T00:00:00"/>
    <x v="6"/>
    <x v="0"/>
    <s v="P102"/>
    <n v="2"/>
    <x v="2"/>
    <x v="2"/>
    <s v="HYD"/>
    <s v="25"/>
    <s v="007"/>
    <s v="Rohit Kumar-Hyderabad"/>
    <x v="1"/>
    <x v="0"/>
    <n v="800"/>
    <n v="450"/>
    <s v="South"/>
    <n v="1600"/>
    <n v="900"/>
    <n v="700"/>
    <n v="0.4375"/>
    <s v="Regular"/>
    <s v="Rivew"/>
  </r>
  <r>
    <s v="MUM25-008"/>
    <d v="2025-01-12T00:00:00"/>
    <x v="7"/>
    <x v="1"/>
    <s v="P106"/>
    <n v="3"/>
    <x v="1"/>
    <x v="1"/>
    <s v="MUM"/>
    <s v="25"/>
    <s v="008"/>
    <s v="Neha Verma-Mumbai"/>
    <x v="5"/>
    <x v="1"/>
    <n v="4500"/>
    <n v="2800"/>
    <s v="West"/>
    <n v="13500"/>
    <n v="8400"/>
    <n v="5100"/>
    <n v="0.37777777777777777"/>
    <s v="High Performance"/>
    <s v="Rivew"/>
  </r>
  <r>
    <s v="DEL25-009"/>
    <d v="2025-01-13T00:00:00"/>
    <x v="8"/>
    <x v="2"/>
    <s v="P104"/>
    <n v="2"/>
    <x v="3"/>
    <x v="0"/>
    <s v="DEL"/>
    <s v="25"/>
    <s v="009"/>
    <s v="Kiran Rao-Delhi"/>
    <x v="3"/>
    <x v="1"/>
    <n v="12000"/>
    <n v="8500"/>
    <s v="North"/>
    <n v="24000"/>
    <n v="17000"/>
    <n v="7000"/>
    <n v="0.29166666666666669"/>
    <s v="High Performance"/>
    <s v="Rivew"/>
  </r>
  <r>
    <s v="HYD25-010"/>
    <d v="2025-01-14T00:00:00"/>
    <x v="9"/>
    <x v="0"/>
    <s v="P103"/>
    <n v="3"/>
    <x v="0"/>
    <x v="2"/>
    <s v="HYD"/>
    <s v="25"/>
    <s v="010"/>
    <s v="Sana Khan-Hyderabad"/>
    <x v="2"/>
    <x v="0"/>
    <n v="1500"/>
    <n v="900"/>
    <s v="South"/>
    <n v="4500"/>
    <n v="2700"/>
    <n v="1800"/>
    <n v="0.4"/>
    <s v="High Performance"/>
    <s v="Rivew"/>
  </r>
  <r>
    <s v="MUM25-011"/>
    <d v="2025-01-15T00:00:00"/>
    <x v="10"/>
    <x v="1"/>
    <s v="P105"/>
    <n v="2"/>
    <x v="2"/>
    <x v="0"/>
    <s v="MUM"/>
    <s v="25"/>
    <s v="011"/>
    <s v="Vivek Patel-Mumbai"/>
    <x v="4"/>
    <x v="1"/>
    <n v="3000"/>
    <n v="1800"/>
    <s v="West"/>
    <n v="6000"/>
    <n v="3600"/>
    <n v="2400"/>
    <n v="0.4"/>
    <s v="High Performance"/>
    <s v="Rivew"/>
  </r>
  <r>
    <s v="DEL25-012"/>
    <d v="2025-01-16T00:00:00"/>
    <x v="11"/>
    <x v="2"/>
    <s v="P106"/>
    <n v="4"/>
    <x v="3"/>
    <x v="3"/>
    <s v="DEL"/>
    <s v="25"/>
    <s v="012"/>
    <s v="Meera Singh-Delhi"/>
    <x v="5"/>
    <x v="1"/>
    <n v="4500"/>
    <n v="2800"/>
    <s v="North"/>
    <n v="18000"/>
    <n v="11200"/>
    <n v="6800"/>
    <n v="0.37777777777777777"/>
    <s v="High Performance"/>
    <s v="Rivew"/>
  </r>
  <r>
    <s v="HYD25-013"/>
    <d v="2025-01-17T00:00:00"/>
    <x v="12"/>
    <x v="0"/>
    <s v="P101"/>
    <n v="3"/>
    <x v="0"/>
    <x v="0"/>
    <s v="HYD"/>
    <s v="25"/>
    <s v="013"/>
    <s v="Farhan Ali-Hyderabad"/>
    <x v="0"/>
    <x v="0"/>
    <n v="1200"/>
    <n v="800"/>
    <s v="South"/>
    <n v="3600"/>
    <n v="2400"/>
    <n v="1200"/>
    <n v="0.33333333333333331"/>
    <s v="High Performance"/>
    <s v="Rivew"/>
  </r>
  <r>
    <s v="MUM25-014"/>
    <d v="2025-01-18T00:00:00"/>
    <x v="13"/>
    <x v="1"/>
    <s v="P103"/>
    <n v="2"/>
    <x v="1"/>
    <x v="2"/>
    <s v="MUM"/>
    <s v="25"/>
    <s v="014"/>
    <s v="Nisha Das-Mumbai"/>
    <x v="2"/>
    <x v="0"/>
    <n v="1500"/>
    <n v="900"/>
    <s v="West"/>
    <n v="3000"/>
    <n v="1800"/>
    <n v="1200"/>
    <n v="0.4"/>
    <s v="High Performance"/>
    <s v="Rivew"/>
  </r>
  <r>
    <s v="DEL25-015"/>
    <d v="2025-01-19T00:00:00"/>
    <x v="14"/>
    <x v="2"/>
    <s v="P102"/>
    <n v="4"/>
    <x v="3"/>
    <x v="1"/>
    <s v="DEL"/>
    <s v="25"/>
    <s v="015"/>
    <s v="Ravi Kumar-Delhi"/>
    <x v="1"/>
    <x v="0"/>
    <n v="800"/>
    <n v="450"/>
    <s v="North"/>
    <n v="3200"/>
    <n v="1800"/>
    <n v="1400"/>
    <n v="0.4375"/>
    <s v="High Performance"/>
    <s v="Rivew"/>
  </r>
  <r>
    <s v="HYD25-016"/>
    <d v="2025-01-20T00:00:00"/>
    <x v="15"/>
    <x v="0"/>
    <s v="P106"/>
    <n v="1"/>
    <x v="2"/>
    <x v="0"/>
    <s v="HYD"/>
    <s v="25"/>
    <s v="016"/>
    <s v="Pooja Rao-Hyderabad"/>
    <x v="5"/>
    <x v="1"/>
    <n v="4500"/>
    <n v="2800"/>
    <s v="South"/>
    <n v="4500"/>
    <n v="2800"/>
    <n v="1700"/>
    <n v="0.37777777777777777"/>
    <s v="High Performance"/>
    <s v="Rivew"/>
  </r>
  <r>
    <s v="MUM25-017"/>
    <d v="2025-01-21T00:00:00"/>
    <x v="16"/>
    <x v="1"/>
    <s v="P104"/>
    <n v="3"/>
    <x v="1"/>
    <x v="1"/>
    <s v="MUM"/>
    <s v="25"/>
    <s v="017"/>
    <s v="Imran Khan-Mumbai"/>
    <x v="3"/>
    <x v="1"/>
    <n v="12000"/>
    <n v="8500"/>
    <s v="West"/>
    <n v="36000"/>
    <n v="25500"/>
    <n v="10500"/>
    <n v="0.29166666666666669"/>
    <s v="High Performance"/>
    <s v="Rivew"/>
  </r>
  <r>
    <s v="DEL25-018"/>
    <d v="2025-01-22T00:00:00"/>
    <x v="17"/>
    <x v="2"/>
    <s v="P105"/>
    <n v="2"/>
    <x v="3"/>
    <x v="0"/>
    <s v="DEL"/>
    <s v="25"/>
    <s v="018"/>
    <s v="Divya Shah-Delhi"/>
    <x v="4"/>
    <x v="1"/>
    <n v="3000"/>
    <n v="1800"/>
    <s v="North"/>
    <n v="6000"/>
    <n v="3600"/>
    <n v="2400"/>
    <n v="0.4"/>
    <s v="High Performance"/>
    <s v="Rivew"/>
  </r>
  <r>
    <s v="HYD25-019"/>
    <d v="2025-01-23T00:00:00"/>
    <x v="0"/>
    <x v="0"/>
    <s v="P101"/>
    <n v="2"/>
    <x v="0"/>
    <x v="0"/>
    <s v="HYD"/>
    <s v="25"/>
    <s v="019"/>
    <s v="Rahul Sharma-Hyderabad"/>
    <x v="0"/>
    <x v="0"/>
    <n v="1200"/>
    <n v="800"/>
    <s v="South"/>
    <n v="2400"/>
    <n v="1600"/>
    <n v="800"/>
    <n v="0.33333333333333331"/>
    <s v="High Performance"/>
    <s v="Rivew"/>
  </r>
  <r>
    <s v="MUM25-020"/>
    <d v="2025-01-24T00:00:00"/>
    <x v="1"/>
    <x v="1"/>
    <s v="P102"/>
    <n v="1"/>
    <x v="1"/>
    <x v="1"/>
    <s v="MUM"/>
    <s v="25"/>
    <s v="020"/>
    <s v="Priya Reddy-Mumbai"/>
    <x v="1"/>
    <x v="0"/>
    <n v="800"/>
    <n v="450"/>
    <s v="West"/>
    <n v="800"/>
    <n v="450"/>
    <n v="350"/>
    <n v="0.4375"/>
    <s v="Regular"/>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73B71-752A-451D-B7DE-25057DE8743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23">
    <pivotField showAll="0"/>
    <pivotField numFmtId="15" showAll="0"/>
    <pivotField showAll="0"/>
    <pivotField showAll="0">
      <items count="4">
        <item x="2"/>
        <item x="0"/>
        <item x="1"/>
        <item t="default"/>
      </items>
    </pivotField>
    <pivotField showAll="0"/>
    <pivotField showAll="0"/>
    <pivotField showAll="0">
      <items count="5">
        <item x="2"/>
        <item x="3"/>
        <item x="1"/>
        <item x="0"/>
        <item t="default"/>
      </items>
    </pivotField>
    <pivotField showAll="0">
      <items count="5">
        <item x="1"/>
        <item x="2"/>
        <item x="3"/>
        <item x="0"/>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numFmtId="10" showAll="0"/>
    <pivotField showAll="0"/>
    <pivotField showAll="0"/>
  </pivotFields>
  <rowFields count="1">
    <field x="13"/>
  </rowFields>
  <rowItems count="3">
    <i>
      <x/>
    </i>
    <i>
      <x v="1"/>
    </i>
    <i t="grand">
      <x/>
    </i>
  </rowItems>
  <colItems count="1">
    <i/>
  </colItems>
  <dataFields count="1">
    <dataField name="Sum of Revenue" fld="17"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25FE52-C3DF-4B8E-9C7E-AB47D21E8FE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7" firstHeaderRow="1" firstDataRow="1" firstDataCol="1"/>
  <pivotFields count="23">
    <pivotField showAll="0"/>
    <pivotField numFmtId="15" showAll="0"/>
    <pivotField showAll="0"/>
    <pivotField axis="axisRow" showAll="0">
      <items count="4">
        <item x="2"/>
        <item x="0"/>
        <item x="1"/>
        <item t="default"/>
      </items>
    </pivotField>
    <pivotField showAll="0"/>
    <pivotField showAll="0"/>
    <pivotField showAll="0">
      <items count="5">
        <item x="2"/>
        <item x="3"/>
        <item x="1"/>
        <item x="0"/>
        <item t="default"/>
      </items>
    </pivotField>
    <pivotField showAll="0">
      <items count="5">
        <item x="1"/>
        <item x="2"/>
        <item x="3"/>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numFmtId="10" showAll="0"/>
    <pivotField showAll="0"/>
    <pivotField showAll="0"/>
  </pivotFields>
  <rowFields count="1">
    <field x="3"/>
  </rowFields>
  <rowItems count="4">
    <i>
      <x/>
    </i>
    <i>
      <x v="1"/>
    </i>
    <i>
      <x v="2"/>
    </i>
    <i t="grand">
      <x/>
    </i>
  </rowItems>
  <colItems count="1">
    <i/>
  </colItems>
  <dataFields count="1">
    <dataField name="Sum of Profit" fld="1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CEAB94-BFA2-4A3A-90E7-A01EEE68AD1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3">
    <pivotField showAll="0"/>
    <pivotField numFmtId="15" showAll="0"/>
    <pivotField showAll="0">
      <items count="19">
        <item x="2"/>
        <item x="4"/>
        <item x="5"/>
        <item x="17"/>
        <item x="12"/>
        <item x="16"/>
        <item x="8"/>
        <item x="11"/>
        <item x="7"/>
        <item x="13"/>
        <item x="15"/>
        <item x="1"/>
        <item x="0"/>
        <item x="14"/>
        <item x="6"/>
        <item x="9"/>
        <item x="3"/>
        <item x="10"/>
        <item t="default"/>
      </items>
    </pivotField>
    <pivotField axis="axisRow" showAll="0">
      <items count="4">
        <item x="2"/>
        <item x="0"/>
        <item x="1"/>
        <item t="default"/>
      </items>
    </pivotField>
    <pivotField showAll="0"/>
    <pivotField showAll="0"/>
    <pivotField showAll="0">
      <items count="5">
        <item x="2"/>
        <item x="3"/>
        <item x="1"/>
        <item x="0"/>
        <item t="default"/>
      </items>
    </pivotField>
    <pivotField showAll="0">
      <items count="5">
        <item x="1"/>
        <item x="2"/>
        <item x="3"/>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 numFmtId="10" showAll="0"/>
    <pivotField showAll="0"/>
    <pivotField showAll="0"/>
  </pivotFields>
  <rowFields count="1">
    <field x="3"/>
  </rowFields>
  <rowItems count="4">
    <i>
      <x/>
    </i>
    <i>
      <x v="1"/>
    </i>
    <i>
      <x v="2"/>
    </i>
    <i t="grand">
      <x/>
    </i>
  </rowItems>
  <colItems count="1">
    <i/>
  </colItems>
  <dataFields count="1">
    <dataField name="Sum of Revenue" fld="1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095902-1AA3-40D2-9BA8-F3C07F56D9C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5" firstHeaderRow="1" firstDataRow="1" firstDataCol="1"/>
  <pivotFields count="23">
    <pivotField showAll="0"/>
    <pivotField numFmtId="15" showAll="0"/>
    <pivotField showAll="0"/>
    <pivotField showAll="0">
      <items count="4">
        <item x="2"/>
        <item x="0"/>
        <item x="1"/>
        <item t="default"/>
      </items>
    </pivotField>
    <pivotField showAll="0"/>
    <pivotField showAll="0"/>
    <pivotField axis="axisRow" showAll="0">
      <items count="5">
        <item x="2"/>
        <item x="3"/>
        <item x="1"/>
        <item x="0"/>
        <item t="default"/>
      </items>
    </pivotField>
    <pivotField showAll="0">
      <items count="5">
        <item x="1"/>
        <item x="2"/>
        <item x="3"/>
        <item x="0"/>
        <item t="default"/>
      </items>
    </pivotField>
    <pivotField showAll="0"/>
    <pivotField showAll="0"/>
    <pivotField showAll="0"/>
    <pivotField showAll="0"/>
    <pivotField showAll="0">
      <items count="7">
        <item x="4"/>
        <item x="2"/>
        <item x="0"/>
        <item x="3"/>
        <item x="5"/>
        <item x="1"/>
        <item t="default"/>
      </items>
    </pivotField>
    <pivotField showAll="0">
      <items count="3">
        <item x="0"/>
        <item x="1"/>
        <item t="default"/>
      </items>
    </pivotField>
    <pivotField showAll="0"/>
    <pivotField showAll="0"/>
    <pivotField showAll="0"/>
    <pivotField dataField="1" showAll="0"/>
    <pivotField showAll="0"/>
    <pivotField showAll="0"/>
    <pivotField numFmtId="10" showAll="0"/>
    <pivotField showAll="0"/>
    <pivotField showAll="0"/>
  </pivotFields>
  <rowFields count="1">
    <field x="6"/>
  </rowFields>
  <rowItems count="5">
    <i>
      <x/>
    </i>
    <i>
      <x v="1"/>
    </i>
    <i>
      <x v="2"/>
    </i>
    <i>
      <x v="3"/>
    </i>
    <i t="grand">
      <x/>
    </i>
  </rowItems>
  <colItems count="1">
    <i/>
  </colItems>
  <dataFields count="1">
    <dataField name="Sum of Revenue"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AFC54D-3B2C-41E1-9515-858E49CB6A9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H15" firstHeaderRow="1" firstDataRow="1" firstDataCol="1"/>
  <pivotFields count="23">
    <pivotField showAll="0"/>
    <pivotField numFmtId="15" showAll="0"/>
    <pivotField showAll="0"/>
    <pivotField showAll="0">
      <items count="4">
        <item x="2"/>
        <item x="0"/>
        <item x="1"/>
        <item t="default"/>
      </items>
    </pivotField>
    <pivotField showAll="0"/>
    <pivotField showAll="0"/>
    <pivotField showAll="0">
      <items count="5">
        <item x="2"/>
        <item x="3"/>
        <item x="1"/>
        <item x="0"/>
        <item t="default"/>
      </items>
    </pivotField>
    <pivotField axis="axisRow" showAll="0">
      <items count="5">
        <item x="1"/>
        <item x="2"/>
        <item x="3"/>
        <item x="0"/>
        <item t="default"/>
      </items>
    </pivotField>
    <pivotField showAll="0"/>
    <pivotField showAll="0"/>
    <pivotField showAll="0"/>
    <pivotField showAll="0"/>
    <pivotField showAll="0">
      <items count="7">
        <item x="4"/>
        <item x="2"/>
        <item x="0"/>
        <item x="3"/>
        <item x="5"/>
        <item x="1"/>
        <item t="default"/>
      </items>
    </pivotField>
    <pivotField showAll="0">
      <items count="3">
        <item x="0"/>
        <item x="1"/>
        <item t="default"/>
      </items>
    </pivotField>
    <pivotField showAll="0"/>
    <pivotField showAll="0"/>
    <pivotField showAll="0"/>
    <pivotField dataField="1" showAll="0"/>
    <pivotField showAll="0"/>
    <pivotField showAll="0"/>
    <pivotField numFmtId="10" showAll="0"/>
    <pivotField showAll="0"/>
    <pivotField showAll="0"/>
  </pivotFields>
  <rowFields count="1">
    <field x="7"/>
  </rowFields>
  <rowItems count="5">
    <i>
      <x/>
    </i>
    <i>
      <x v="1"/>
    </i>
    <i>
      <x v="2"/>
    </i>
    <i>
      <x v="3"/>
    </i>
    <i t="grand">
      <x/>
    </i>
  </rowItems>
  <colItems count="1">
    <i/>
  </colItems>
  <dataFields count="1">
    <dataField name="Sum of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0856CD-B74C-453E-84D9-A08C3B894FB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7" firstHeaderRow="1" firstDataRow="1" firstDataCol="1"/>
  <pivotFields count="23">
    <pivotField showAll="0"/>
    <pivotField numFmtId="15" showAll="0"/>
    <pivotField showAll="0"/>
    <pivotField showAll="0">
      <items count="4">
        <item x="2"/>
        <item x="0"/>
        <item x="1"/>
        <item t="default"/>
      </items>
    </pivotField>
    <pivotField showAll="0"/>
    <pivotField dataField="1" showAll="0"/>
    <pivotField showAll="0">
      <items count="5">
        <item x="2"/>
        <item x="3"/>
        <item x="1"/>
        <item x="0"/>
        <item t="default"/>
      </items>
    </pivotField>
    <pivotField showAll="0">
      <items count="5">
        <item x="1"/>
        <item x="2"/>
        <item x="3"/>
        <item x="0"/>
        <item t="default"/>
      </items>
    </pivotField>
    <pivotField showAll="0"/>
    <pivotField showAll="0"/>
    <pivotField showAll="0"/>
    <pivotField showAll="0"/>
    <pivotField axis="axisRow" showAll="0">
      <items count="7">
        <item x="4"/>
        <item x="2"/>
        <item x="0"/>
        <item x="3"/>
        <item x="5"/>
        <item x="1"/>
        <item t="default"/>
      </items>
    </pivotField>
    <pivotField showAll="0">
      <items count="3">
        <item x="0"/>
        <item x="1"/>
        <item t="default"/>
      </items>
    </pivotField>
    <pivotField showAll="0"/>
    <pivotField showAll="0"/>
    <pivotField showAll="0"/>
    <pivotField showAll="0"/>
    <pivotField showAll="0"/>
    <pivotField showAll="0"/>
    <pivotField numFmtId="10" showAll="0"/>
    <pivotField showAll="0"/>
    <pivotField showAll="0"/>
  </pivotFields>
  <rowFields count="1">
    <field x="12"/>
  </rowFields>
  <rowItems count="7">
    <i>
      <x/>
    </i>
    <i>
      <x v="1"/>
    </i>
    <i>
      <x v="2"/>
    </i>
    <i>
      <x v="3"/>
    </i>
    <i>
      <x v="4"/>
    </i>
    <i>
      <x v="5"/>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FEBE19-08EB-4FC6-9F63-984345EEB85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0" firstHeaderRow="1" firstDataRow="1" firstDataCol="1"/>
  <pivotFields count="23">
    <pivotField showAll="0"/>
    <pivotField numFmtId="15"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items count="7">
        <item x="4"/>
        <item x="2"/>
        <item x="0"/>
        <item x="3"/>
        <item x="5"/>
        <item x="1"/>
        <item t="default"/>
      </items>
    </pivotField>
    <pivotField showAll="0">
      <items count="3">
        <item x="0"/>
        <item x="1"/>
        <item t="default"/>
      </items>
    </pivotField>
    <pivotField showAll="0"/>
    <pivotField showAll="0"/>
    <pivotField showAll="0"/>
    <pivotField dataField="1" showAll="0"/>
    <pivotField showAll="0"/>
    <pivotField showAll="0"/>
    <pivotField numFmtId="10" showAll="0"/>
    <pivotField showAll="0"/>
    <pivotField showAll="0"/>
  </pivotFields>
  <rowFields count="1">
    <field x="12"/>
  </rowFields>
  <rowItems count="7">
    <i>
      <x/>
    </i>
    <i>
      <x v="1"/>
    </i>
    <i>
      <x v="2"/>
    </i>
    <i>
      <x v="3"/>
    </i>
    <i>
      <x v="4"/>
    </i>
    <i>
      <x v="5"/>
    </i>
    <i t="grand">
      <x/>
    </i>
  </rowItems>
  <colItems count="1">
    <i/>
  </colItems>
  <dataFields count="1">
    <dataField name="Sum of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02442E6-2B3E-4309-BB33-2A0A2DC6622E}" sourceName="Salesperson">
  <pivotTables>
    <pivotTable tabId="7" name="PivotTable2"/>
    <pivotTable tabId="7" name="PivotTable3"/>
    <pivotTable tabId="7" name="PivotTable4"/>
    <pivotTable tabId="7" name="PivotTable6"/>
    <pivotTable tabId="7" name="PivotTable7"/>
    <pivotTable tabId="7" name="PivotTable8"/>
  </pivotTables>
  <data>
    <tabular pivotCacheId="20962165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E528A41-9844-48E4-83CB-7CFE2B2800A7}" sourceName="Payment Method">
  <pivotTables>
    <pivotTable tabId="7" name="PivotTable2"/>
    <pivotTable tabId="7" name="PivotTable3"/>
    <pivotTable tabId="7" name="PivotTable4"/>
    <pivotTable tabId="7" name="PivotTable6"/>
    <pivotTable tabId="7" name="PivotTable7"/>
    <pivotTable tabId="7" name="PivotTable8"/>
  </pivotTables>
  <data>
    <tabular pivotCacheId="20962165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04BE66-69FB-453E-9F28-799D85DA57FE}" sourceName="Category">
  <pivotTables>
    <pivotTable tabId="7" name="PivotTable2"/>
    <pivotTable tabId="7" name="PivotTable3"/>
    <pivotTable tabId="7" name="PivotTable4"/>
    <pivotTable tabId="7" name="PivotTable6"/>
    <pivotTable tabId="7" name="PivotTable7"/>
    <pivotTable tabId="7" name="PivotTable8"/>
  </pivotTables>
  <data>
    <tabular pivotCacheId="20962165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CA91AC6-0522-42D4-9251-767E1589DAC1}" sourceName="City">
  <pivotTables>
    <pivotTable tabId="7" name="PivotTable2"/>
    <pivotTable tabId="7" name="PivotTable3"/>
    <pivotTable tabId="7" name="PivotTable4"/>
    <pivotTable tabId="7" name="PivotTable5"/>
    <pivotTable tabId="7" name="PivotTable6"/>
  </pivotTables>
  <data>
    <tabular pivotCacheId="20962165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F84A9326-E98A-49C3-9309-54D82E33F2D9}" cache="Slicer_Salesperson" caption="Salesperson" showCaption="0" rowHeight="234950"/>
  <slicer name="Payment Method" xr10:uid="{E7DE76B0-075B-4505-8498-83095C7DF1EC}" cache="Slicer_Payment_Method" caption="Payment Method" showCaption="0" rowHeight="234950"/>
  <slicer name="Category" xr10:uid="{55B5084E-72A5-4DDA-BDBF-ABDA3ECFB8DD}" cache="Slicer_Category" caption="Category" showCaption="0" rowHeight="234950"/>
  <slicer name="City" xr10:uid="{9176DFCD-2299-4662-8045-9A9109F80A10}" cache="Slicer_City" caption="City"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07BE7B-9543-4301-8F53-9EF942F82E22}" name="Sales_Performance" displayName="Sales_Performance" ref="A1:W21" totalsRowShown="0">
  <autoFilter ref="A1:W21" xr:uid="{1907BE7B-9543-4301-8F53-9EF942F82E22}"/>
  <tableColumns count="23">
    <tableColumn id="1" xr3:uid="{4A57C710-D536-4324-B7FB-9600DB9ECB9B}" name="Order ID"/>
    <tableColumn id="2" xr3:uid="{1B0BD235-F130-417E-BA3F-E567B34F35CC}" name="Date" dataDxfId="6"/>
    <tableColumn id="3" xr3:uid="{38C55E30-F447-4398-9610-85031A551E87}" name="Customer Name" dataDxfId="5"/>
    <tableColumn id="4" xr3:uid="{4DED7D67-2CED-41A2-BE05-CC93CBF06F6B}" name="City"/>
    <tableColumn id="5" xr3:uid="{AE71D7C3-66DC-4C5B-8EEC-ED87E5E8942C}" name="Product Code"/>
    <tableColumn id="6" xr3:uid="{F32C675B-6C91-433B-AD8D-923B1CBCB1BC}" name="Units"/>
    <tableColumn id="7" xr3:uid="{C51414D6-96E9-4253-A084-8BFCE514336D}" name="Salesperson"/>
    <tableColumn id="8" xr3:uid="{6BC3B8AE-3924-46F1-B006-F429A55C85A0}" name="Payment Method"/>
    <tableColumn id="9" xr3:uid="{80BE7D02-D144-42D0-B90E-B0993FE5F7FE}" name="Order Prefix">
      <calculatedColumnFormula>LEFT(A2,3)</calculatedColumnFormula>
    </tableColumn>
    <tableColumn id="10" xr3:uid="{72097C83-85D3-4CEF-9D11-2168056BFFF0}" name="Year Component">
      <calculatedColumnFormula>MID(A2,4,2)</calculatedColumnFormula>
    </tableColumn>
    <tableColumn id="11" xr3:uid="{B35CCEC3-4C4E-4C3C-B3FB-B0ECAFA01084}" name="Order Number">
      <calculatedColumnFormula>RIGHT(A2,3)</calculatedColumnFormula>
    </tableColumn>
    <tableColumn id="12" xr3:uid="{9CC550A2-B197-497B-9C54-6EA6B02221D6}" name="Customer Label">
      <calculatedColumnFormula>_xlfn.CONCAT(C2,"-",D2)</calculatedColumnFormula>
    </tableColumn>
    <tableColumn id="13" xr3:uid="{769F4607-D0C2-4DEE-97C2-FE2A5D2740D8}" name="Product" dataDxfId="4">
      <calculatedColumnFormula>_xlfn.XLOOKUP(Sales_Performance[[#This Row],[Product Code]],Table2[Product Code],Table2[Product])</calculatedColumnFormula>
    </tableColumn>
    <tableColumn id="14" xr3:uid="{A74899D6-787E-4466-8395-4BF5EA061D33}" name="Category" dataDxfId="3">
      <calculatedColumnFormula>VLOOKUP(Sales_Performance[[#This Row],[Product Code]],Table2[#All],3,0)</calculatedColumnFormula>
    </tableColumn>
    <tableColumn id="15" xr3:uid="{28AE6ED9-F92F-437B-A7C2-630382C386FC}" name="Unit Price" dataDxfId="2">
      <calculatedColumnFormula>_xlfn.XLOOKUP(Sales_Performance[[#This Row],[Product Code]],Table2[Product Code],Table2[Unit Price])</calculatedColumnFormula>
    </tableColumn>
    <tableColumn id="16" xr3:uid="{F3C8E6B2-0C70-49CF-9665-8789D0D9954D}" name="Cost per Unit" dataDxfId="1">
      <calculatedColumnFormula>VLOOKUP(Sales_Performance[[#This Row],[Product Code]],Table2[],5,0)</calculatedColumnFormula>
    </tableColumn>
    <tableColumn id="17" xr3:uid="{7AD3A08A-EF12-4F51-8BBB-294183B3D5A9}" name="Region">
      <calculatedColumnFormula>VLOOKUP(D2,'City Lookup'!$A$3:$B$5,2,0)</calculatedColumnFormula>
    </tableColumn>
    <tableColumn id="18" xr3:uid="{A8DE1617-8E24-4DD2-BC92-5AEE6C9C37E8}" name="Revenue">
      <calculatedColumnFormula>F2*O2</calculatedColumnFormula>
    </tableColumn>
    <tableColumn id="19" xr3:uid="{914786C4-CC1F-4F89-94CA-E106B8C66A24}" name="Total Cost">
      <calculatedColumnFormula>F2*P2</calculatedColumnFormula>
    </tableColumn>
    <tableColumn id="20" xr3:uid="{8ADA450A-96CD-4F68-8AD9-52CD7D15FC6B}" name="Profit">
      <calculatedColumnFormula>R2-S2</calculatedColumnFormula>
    </tableColumn>
    <tableColumn id="21" xr3:uid="{E92CC20A-0EA9-4DF8-9EFC-1FF17B41B98F}" name="Profit Margin" dataDxfId="0" dataCellStyle="Percent">
      <calculatedColumnFormula>T2/R2*100%</calculatedColumnFormula>
    </tableColumn>
    <tableColumn id="22" xr3:uid="{4C1F24F1-EAE1-4C79-A094-E785ACDB54B1}" name="Performance">
      <calculatedColumnFormula>IF(AND(R2&gt;=2000,S2&gt;=500),"High Performance","Regular")</calculatedColumnFormula>
    </tableColumn>
    <tableColumn id="23" xr3:uid="{8AB63740-AF7C-4D47-907D-A2690C0522F5}" name="Transaction Review">
      <calculatedColumnFormula>IF(OR(R2&gt;=2000,T2&gt;=500),"Rivew","Normal")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DDEC74-0B37-403A-8440-7764921511C1}" name="Table2" displayName="Table2" ref="A1:E7" totalsRowShown="0">
  <autoFilter ref="A1:E7" xr:uid="{F6DDEC74-0B37-403A-8440-7764921511C1}"/>
  <tableColumns count="5">
    <tableColumn id="1" xr3:uid="{6D0105A6-1CAB-4C05-A4CC-F9F9E7CE3C50}" name="Product Code"/>
    <tableColumn id="2" xr3:uid="{11C6898A-AD53-423C-A024-4A18DAF54D07}" name="Product"/>
    <tableColumn id="3" xr3:uid="{2F8682D2-41FB-4D37-A0D7-C1E4473554BD}" name="Category"/>
    <tableColumn id="4" xr3:uid="{1D20AB29-20CF-4004-9393-F108A751C3C0}" name="Unit Price"/>
    <tableColumn id="5" xr3:uid="{999E8633-36B1-4E43-B021-20EC77726CBF}" name="Cost Per Un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F13979-1822-45BD-9654-FB839E4DCF91}" name="Table3" displayName="Table3" ref="A1:B5" totalsRowShown="0">
  <autoFilter ref="A1:B5" xr:uid="{73F13979-1822-45BD-9654-FB839E4DCF91}"/>
  <tableColumns count="2">
    <tableColumn id="1" xr3:uid="{1F72D80F-4374-4790-9BD3-269583FE66E8}" name="Column1"/>
    <tableColumn id="2" xr3:uid="{1ED1A3CA-7416-4526-A46E-839377444F28}"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BEF2-3924-42AD-8F13-260EBF06919C}">
  <dimension ref="A2:Y42"/>
  <sheetViews>
    <sheetView showGridLines="0" workbookViewId="0">
      <selection activeCell="N8" sqref="N8"/>
    </sheetView>
  </sheetViews>
  <sheetFormatPr defaultRowHeight="14.4" x14ac:dyDescent="0.3"/>
  <sheetData>
    <row r="2" spans="1:23" ht="25.8" x14ac:dyDescent="0.5">
      <c r="A2" s="13" t="s">
        <v>100</v>
      </c>
      <c r="B2" s="13"/>
      <c r="C2" s="13"/>
      <c r="D2" s="8"/>
    </row>
    <row r="3" spans="1:23" ht="15.6" x14ac:dyDescent="0.3">
      <c r="A3" s="19" t="s">
        <v>97</v>
      </c>
      <c r="B3" s="19"/>
      <c r="C3" s="19"/>
      <c r="D3" s="19"/>
      <c r="E3" s="19"/>
      <c r="F3" s="19"/>
      <c r="G3" s="19"/>
      <c r="H3" s="19"/>
      <c r="I3" s="19"/>
      <c r="J3" s="19"/>
      <c r="K3" s="19"/>
      <c r="L3" s="19"/>
      <c r="M3" s="19"/>
      <c r="N3" s="19"/>
      <c r="O3" s="19"/>
      <c r="P3" s="19"/>
      <c r="Q3" s="19"/>
      <c r="R3" s="19"/>
      <c r="S3" s="19"/>
      <c r="T3" s="19"/>
      <c r="U3" s="5"/>
      <c r="V3" s="5"/>
      <c r="W3" s="5"/>
    </row>
    <row r="4" spans="1:23" ht="15.6" x14ac:dyDescent="0.3">
      <c r="A4" s="19" t="s">
        <v>98</v>
      </c>
      <c r="B4" s="19"/>
      <c r="C4" s="19"/>
      <c r="D4" s="19"/>
      <c r="E4" s="19"/>
      <c r="F4" s="19"/>
      <c r="G4" s="19"/>
      <c r="H4" s="19"/>
      <c r="I4" s="19"/>
      <c r="J4" s="19"/>
      <c r="K4" s="19"/>
      <c r="L4" s="19"/>
      <c r="M4" s="19"/>
      <c r="N4" s="19"/>
      <c r="O4" s="19"/>
      <c r="P4" s="19"/>
      <c r="Q4" s="19"/>
      <c r="R4" s="19"/>
      <c r="S4" s="19"/>
      <c r="T4" s="19"/>
      <c r="U4" s="5"/>
      <c r="V4" s="5"/>
      <c r="W4" s="5"/>
    </row>
    <row r="5" spans="1:23" ht="15.6" x14ac:dyDescent="0.3">
      <c r="A5" s="19" t="s">
        <v>99</v>
      </c>
      <c r="B5" s="19"/>
      <c r="C5" s="19"/>
      <c r="D5" s="19"/>
      <c r="E5" s="19"/>
      <c r="F5" s="19"/>
      <c r="G5" s="19"/>
      <c r="H5" s="19"/>
      <c r="I5" s="19"/>
      <c r="J5" s="19"/>
      <c r="K5" s="19"/>
      <c r="L5" s="19"/>
      <c r="M5" s="19"/>
      <c r="N5" s="19"/>
      <c r="O5" s="19"/>
      <c r="P5" s="19"/>
      <c r="Q5" s="19"/>
      <c r="R5" s="19"/>
      <c r="S5" s="19"/>
      <c r="T5" s="19"/>
      <c r="U5" s="5"/>
      <c r="V5" s="5"/>
      <c r="W5" s="5"/>
    </row>
    <row r="7" spans="1:23" ht="25.8" x14ac:dyDescent="0.5">
      <c r="A7" s="13" t="s">
        <v>101</v>
      </c>
      <c r="B7" s="14"/>
      <c r="C7" s="15"/>
    </row>
    <row r="8" spans="1:23" ht="15.6" x14ac:dyDescent="0.3">
      <c r="A8" s="19" t="s">
        <v>102</v>
      </c>
      <c r="B8" s="19"/>
      <c r="C8" s="19"/>
      <c r="D8" s="19"/>
      <c r="E8" s="19"/>
      <c r="F8" s="19"/>
      <c r="G8" s="19"/>
      <c r="H8" s="19"/>
      <c r="I8" s="19"/>
      <c r="J8" s="19"/>
      <c r="K8" s="19"/>
      <c r="L8" s="19"/>
      <c r="M8" s="19"/>
      <c r="N8" s="19"/>
      <c r="O8" s="19"/>
      <c r="P8" s="19"/>
      <c r="Q8" s="19"/>
      <c r="R8" s="5"/>
      <c r="S8" s="5"/>
      <c r="T8" s="5"/>
    </row>
    <row r="9" spans="1:23" ht="15.6" x14ac:dyDescent="0.3">
      <c r="A9" s="19" t="s">
        <v>103</v>
      </c>
      <c r="B9" s="19"/>
      <c r="C9" s="19"/>
      <c r="D9" s="19"/>
      <c r="E9" s="19"/>
      <c r="F9" s="19"/>
      <c r="G9" s="19"/>
      <c r="H9" s="19"/>
      <c r="I9" s="19"/>
      <c r="J9" s="19"/>
      <c r="K9" s="19"/>
      <c r="L9" s="19"/>
      <c r="M9" s="19"/>
      <c r="N9" s="19"/>
      <c r="O9" s="19"/>
      <c r="P9" s="19"/>
      <c r="Q9" s="19"/>
      <c r="R9" s="5"/>
      <c r="S9" s="5"/>
      <c r="T9" s="5"/>
    </row>
    <row r="10" spans="1:23" ht="15.6" x14ac:dyDescent="0.3">
      <c r="A10" s="19" t="s">
        <v>104</v>
      </c>
      <c r="B10" s="19"/>
      <c r="C10" s="19"/>
      <c r="D10" s="19"/>
      <c r="E10" s="19"/>
      <c r="F10" s="19"/>
      <c r="G10" s="19"/>
      <c r="H10" s="19"/>
      <c r="I10" s="19"/>
      <c r="J10" s="19"/>
      <c r="K10" s="19"/>
      <c r="L10" s="19"/>
      <c r="M10" s="19"/>
      <c r="N10" s="19"/>
      <c r="O10" s="19"/>
      <c r="P10" s="19"/>
      <c r="Q10" s="19"/>
      <c r="R10" s="5"/>
      <c r="S10" s="5"/>
      <c r="T10" s="5"/>
    </row>
    <row r="12" spans="1:23" ht="25.8" x14ac:dyDescent="0.5">
      <c r="A12" s="13" t="s">
        <v>105</v>
      </c>
      <c r="B12" s="14"/>
      <c r="C12" s="14"/>
      <c r="D12" s="14"/>
      <c r="E12" s="10"/>
    </row>
    <row r="13" spans="1:23" ht="15.6" x14ac:dyDescent="0.3">
      <c r="A13" s="19" t="s">
        <v>106</v>
      </c>
      <c r="B13" s="19"/>
      <c r="C13" s="19"/>
      <c r="D13" s="19"/>
      <c r="E13" s="19"/>
      <c r="F13" s="19"/>
      <c r="G13" s="19"/>
      <c r="H13" s="19"/>
      <c r="I13" s="19"/>
      <c r="J13" s="19"/>
      <c r="K13" s="19"/>
      <c r="L13" s="19"/>
      <c r="M13" s="19"/>
      <c r="N13" s="19"/>
      <c r="O13" s="19"/>
      <c r="P13" s="19"/>
      <c r="Q13" s="19"/>
      <c r="R13" s="19"/>
      <c r="S13" s="5"/>
      <c r="T13" s="5"/>
      <c r="U13" s="5"/>
      <c r="V13" s="5"/>
    </row>
    <row r="14" spans="1:23" ht="15.6" x14ac:dyDescent="0.3">
      <c r="A14" s="19" t="s">
        <v>107</v>
      </c>
      <c r="B14" s="19"/>
      <c r="C14" s="19"/>
      <c r="D14" s="19"/>
      <c r="E14" s="19"/>
      <c r="F14" s="19"/>
      <c r="G14" s="19"/>
      <c r="H14" s="19"/>
      <c r="I14" s="19"/>
      <c r="J14" s="19"/>
      <c r="K14" s="19"/>
      <c r="L14" s="19"/>
      <c r="M14" s="19"/>
      <c r="N14" s="19"/>
      <c r="O14" s="19"/>
      <c r="P14" s="19"/>
      <c r="Q14" s="19"/>
      <c r="R14" s="19"/>
      <c r="S14" s="5"/>
      <c r="T14" s="5"/>
      <c r="U14" s="5"/>
      <c r="V14" s="5"/>
    </row>
    <row r="15" spans="1:23" ht="15.6" x14ac:dyDescent="0.3">
      <c r="A15" s="19" t="s">
        <v>108</v>
      </c>
      <c r="B15" s="19"/>
      <c r="C15" s="19"/>
      <c r="D15" s="19"/>
      <c r="E15" s="19"/>
      <c r="F15" s="19"/>
      <c r="G15" s="19"/>
      <c r="H15" s="19"/>
      <c r="I15" s="19"/>
      <c r="J15" s="19"/>
      <c r="K15" s="19"/>
      <c r="L15" s="19"/>
      <c r="M15" s="19"/>
      <c r="N15" s="19"/>
      <c r="O15" s="19"/>
      <c r="P15" s="19"/>
      <c r="Q15" s="19"/>
      <c r="R15" s="19"/>
      <c r="S15" s="5"/>
      <c r="T15" s="5"/>
      <c r="U15" s="5"/>
      <c r="V15" s="5"/>
    </row>
    <row r="16" spans="1:23" x14ac:dyDescent="0.3">
      <c r="D16" s="9"/>
    </row>
    <row r="17" spans="1:25" ht="25.8" x14ac:dyDescent="0.5">
      <c r="A17" s="13" t="s">
        <v>109</v>
      </c>
      <c r="B17" s="14"/>
      <c r="C17" s="14"/>
      <c r="D17" s="14"/>
      <c r="E17" s="15"/>
    </row>
    <row r="18" spans="1:25" ht="15.6" x14ac:dyDescent="0.3">
      <c r="A18" s="19" t="s">
        <v>110</v>
      </c>
      <c r="B18" s="19"/>
      <c r="C18" s="19"/>
      <c r="D18" s="19"/>
      <c r="E18" s="19"/>
      <c r="F18" s="19"/>
      <c r="G18" s="19"/>
      <c r="H18" s="19"/>
      <c r="I18" s="19"/>
      <c r="J18" s="19"/>
      <c r="K18" s="19"/>
      <c r="L18" s="19"/>
      <c r="M18" s="19"/>
      <c r="N18" s="19"/>
      <c r="O18" s="19"/>
      <c r="P18" s="19"/>
      <c r="Q18" s="5"/>
      <c r="R18" s="5"/>
      <c r="S18" s="5"/>
    </row>
    <row r="19" spans="1:25" ht="15.6" x14ac:dyDescent="0.3">
      <c r="A19" s="19" t="s">
        <v>111</v>
      </c>
      <c r="B19" s="19"/>
      <c r="C19" s="19"/>
      <c r="D19" s="19"/>
      <c r="E19" s="19"/>
      <c r="F19" s="19"/>
      <c r="G19" s="19"/>
      <c r="H19" s="19"/>
      <c r="I19" s="19"/>
      <c r="J19" s="19"/>
      <c r="K19" s="19"/>
      <c r="L19" s="19"/>
      <c r="M19" s="19"/>
      <c r="N19" s="19"/>
      <c r="O19" s="19"/>
      <c r="P19" s="19"/>
      <c r="Q19" s="5"/>
      <c r="R19" s="5"/>
      <c r="S19" s="5"/>
    </row>
    <row r="20" spans="1:25" ht="15.6" x14ac:dyDescent="0.3">
      <c r="A20" s="19" t="s">
        <v>112</v>
      </c>
      <c r="B20" s="19"/>
      <c r="C20" s="19"/>
      <c r="D20" s="19"/>
      <c r="E20" s="19"/>
      <c r="F20" s="19"/>
      <c r="G20" s="19"/>
      <c r="H20" s="19"/>
      <c r="I20" s="19"/>
      <c r="J20" s="19"/>
      <c r="K20" s="19"/>
      <c r="L20" s="19"/>
      <c r="M20" s="19"/>
      <c r="N20" s="19"/>
      <c r="O20" s="19"/>
      <c r="P20" s="19"/>
      <c r="Q20" s="5"/>
      <c r="R20" s="5"/>
      <c r="S20" s="5"/>
    </row>
    <row r="22" spans="1:25" ht="25.8" x14ac:dyDescent="0.5">
      <c r="A22" s="13" t="s">
        <v>113</v>
      </c>
      <c r="B22" s="14"/>
      <c r="C22" s="14"/>
      <c r="D22" s="14"/>
      <c r="E22" s="15"/>
    </row>
    <row r="23" spans="1:25" ht="15.6" x14ac:dyDescent="0.3">
      <c r="A23" s="19" t="s">
        <v>114</v>
      </c>
      <c r="B23" s="19"/>
      <c r="C23" s="19"/>
      <c r="D23" s="19"/>
      <c r="E23" s="19"/>
      <c r="F23" s="19"/>
      <c r="G23" s="19"/>
      <c r="H23" s="19"/>
      <c r="I23" s="19"/>
      <c r="J23" s="19"/>
      <c r="K23" s="19"/>
      <c r="L23" s="19"/>
      <c r="M23" s="19"/>
      <c r="N23" s="19"/>
      <c r="O23" s="19"/>
      <c r="P23" s="19"/>
      <c r="Q23" s="19"/>
      <c r="R23" s="19"/>
      <c r="S23" s="19"/>
      <c r="T23" s="5"/>
      <c r="U23" s="5"/>
      <c r="V23" s="5"/>
      <c r="W23" s="5"/>
    </row>
    <row r="24" spans="1:25" ht="15.6" x14ac:dyDescent="0.3">
      <c r="A24" s="19" t="s">
        <v>115</v>
      </c>
      <c r="B24" s="19"/>
      <c r="C24" s="19"/>
      <c r="D24" s="19"/>
      <c r="E24" s="19"/>
      <c r="F24" s="19"/>
      <c r="G24" s="19"/>
      <c r="H24" s="19"/>
      <c r="I24" s="19"/>
      <c r="J24" s="19"/>
      <c r="K24" s="19"/>
      <c r="L24" s="19"/>
      <c r="M24" s="19"/>
      <c r="N24" s="19"/>
      <c r="O24" s="19"/>
      <c r="P24" s="19"/>
      <c r="Q24" s="19"/>
      <c r="R24" s="19"/>
      <c r="S24" s="19"/>
      <c r="T24" s="5"/>
      <c r="U24" s="5"/>
      <c r="V24" s="5"/>
      <c r="W24" s="5"/>
    </row>
    <row r="25" spans="1:25" ht="15.6" x14ac:dyDescent="0.3">
      <c r="A25" s="19" t="s">
        <v>116</v>
      </c>
      <c r="B25" s="19"/>
      <c r="C25" s="19"/>
      <c r="D25" s="19"/>
      <c r="E25" s="19"/>
      <c r="F25" s="19"/>
      <c r="G25" s="19"/>
      <c r="H25" s="19"/>
      <c r="I25" s="19"/>
      <c r="J25" s="19"/>
      <c r="K25" s="19"/>
      <c r="L25" s="19"/>
      <c r="M25" s="19"/>
      <c r="N25" s="19"/>
      <c r="O25" s="19"/>
      <c r="P25" s="19"/>
      <c r="Q25" s="19"/>
      <c r="R25" s="19"/>
      <c r="S25" s="19"/>
      <c r="T25" s="5"/>
      <c r="U25" s="5"/>
      <c r="V25" s="5"/>
      <c r="W25" s="5"/>
    </row>
    <row r="27" spans="1:25" ht="25.8" x14ac:dyDescent="0.5">
      <c r="A27" s="13" t="s">
        <v>117</v>
      </c>
      <c r="B27" s="14"/>
      <c r="C27" s="14"/>
      <c r="D27" s="14"/>
      <c r="E27" s="14"/>
      <c r="F27" s="15"/>
    </row>
    <row r="28" spans="1:25" ht="15.6" x14ac:dyDescent="0.3">
      <c r="A28" s="19" t="s">
        <v>118</v>
      </c>
      <c r="B28" s="19"/>
      <c r="C28" s="19"/>
      <c r="D28" s="19"/>
      <c r="E28" s="19"/>
      <c r="F28" s="19"/>
      <c r="G28" s="19"/>
      <c r="H28" s="19"/>
      <c r="I28" s="19"/>
      <c r="J28" s="19"/>
      <c r="K28" s="19"/>
      <c r="L28" s="19"/>
      <c r="M28" s="19"/>
      <c r="N28" s="19"/>
      <c r="O28" s="19"/>
      <c r="P28" s="19"/>
      <c r="Q28" s="19"/>
      <c r="R28" s="19"/>
      <c r="S28" s="19"/>
      <c r="T28" s="19"/>
      <c r="U28" s="19"/>
      <c r="V28" s="5"/>
      <c r="W28" s="5"/>
      <c r="X28" s="5"/>
      <c r="Y28" s="5"/>
    </row>
    <row r="29" spans="1:25" ht="15.6" x14ac:dyDescent="0.3">
      <c r="A29" s="19" t="s">
        <v>119</v>
      </c>
      <c r="B29" s="19"/>
      <c r="C29" s="19"/>
      <c r="D29" s="19"/>
      <c r="E29" s="19"/>
      <c r="F29" s="19"/>
      <c r="G29" s="19"/>
      <c r="H29" s="19"/>
      <c r="I29" s="19"/>
      <c r="J29" s="19"/>
      <c r="K29" s="19"/>
      <c r="L29" s="19"/>
      <c r="M29" s="19"/>
      <c r="N29" s="19"/>
      <c r="O29" s="19"/>
      <c r="P29" s="19"/>
      <c r="Q29" s="19"/>
      <c r="R29" s="19"/>
      <c r="S29" s="19"/>
      <c r="T29" s="19"/>
      <c r="U29" s="19"/>
      <c r="V29" s="5"/>
      <c r="W29" s="5"/>
      <c r="X29" s="5"/>
      <c r="Y29" s="5"/>
    </row>
    <row r="30" spans="1:25" ht="15.6" x14ac:dyDescent="0.3">
      <c r="A30" s="19" t="s">
        <v>120</v>
      </c>
      <c r="B30" s="19"/>
      <c r="C30" s="19"/>
      <c r="D30" s="19"/>
      <c r="E30" s="19"/>
      <c r="F30" s="19"/>
      <c r="G30" s="19"/>
      <c r="H30" s="19"/>
      <c r="I30" s="19"/>
      <c r="J30" s="19"/>
      <c r="K30" s="19"/>
      <c r="L30" s="19"/>
      <c r="M30" s="19"/>
      <c r="N30" s="19"/>
      <c r="O30" s="19"/>
      <c r="P30" s="19"/>
      <c r="Q30" s="19"/>
      <c r="R30" s="19"/>
      <c r="S30" s="19"/>
      <c r="T30" s="19"/>
      <c r="U30" s="19"/>
      <c r="V30" s="5"/>
      <c r="W30" s="5"/>
      <c r="X30" s="5"/>
      <c r="Y30" s="5"/>
    </row>
    <row r="32" spans="1:25" s="18" customFormat="1" ht="44.4" x14ac:dyDescent="0.3">
      <c r="A32" s="16" t="s">
        <v>121</v>
      </c>
      <c r="B32" s="17"/>
      <c r="C32" s="17"/>
      <c r="D32" s="17"/>
    </row>
    <row r="33" spans="1:17" ht="18" x14ac:dyDescent="0.35">
      <c r="A33" s="11" t="s">
        <v>122</v>
      </c>
      <c r="B33" s="11"/>
      <c r="C33" s="11"/>
    </row>
    <row r="34" spans="1:17" ht="15.6" x14ac:dyDescent="0.3">
      <c r="A34" s="20" t="s">
        <v>123</v>
      </c>
      <c r="B34" s="20"/>
      <c r="C34" s="20"/>
      <c r="D34" s="20"/>
      <c r="E34" s="20"/>
      <c r="F34" s="20"/>
      <c r="G34" s="20"/>
      <c r="H34" s="20"/>
      <c r="I34" s="20"/>
      <c r="J34" s="20"/>
      <c r="K34" s="5"/>
    </row>
    <row r="35" spans="1:17" ht="18" x14ac:dyDescent="0.35">
      <c r="A35" s="11" t="s">
        <v>124</v>
      </c>
      <c r="B35" s="11"/>
    </row>
    <row r="36" spans="1:17" ht="15.6" x14ac:dyDescent="0.3">
      <c r="A36" s="19" t="s">
        <v>125</v>
      </c>
      <c r="B36" s="19"/>
      <c r="C36" s="19"/>
      <c r="D36" s="19"/>
      <c r="E36" s="19"/>
      <c r="F36" s="19"/>
      <c r="G36" s="19"/>
      <c r="H36" s="19"/>
      <c r="I36" s="19"/>
      <c r="J36" s="19"/>
      <c r="K36" s="19"/>
      <c r="L36" s="19"/>
      <c r="M36" s="19"/>
      <c r="N36" s="5"/>
    </row>
    <row r="37" spans="1:17" ht="18" x14ac:dyDescent="0.35">
      <c r="A37" s="11" t="s">
        <v>126</v>
      </c>
      <c r="B37" s="11"/>
      <c r="C37" s="11"/>
      <c r="D37" s="12"/>
    </row>
    <row r="38" spans="1:17" ht="15.6" x14ac:dyDescent="0.3">
      <c r="A38" s="19" t="s">
        <v>127</v>
      </c>
      <c r="B38" s="19"/>
      <c r="C38" s="19"/>
      <c r="D38" s="19"/>
      <c r="E38" s="19"/>
      <c r="F38" s="19"/>
      <c r="G38" s="19"/>
      <c r="H38" s="19"/>
      <c r="I38" s="19"/>
      <c r="J38" s="19"/>
      <c r="K38" s="19"/>
      <c r="L38" s="19"/>
      <c r="M38" s="5"/>
      <c r="N38" s="5"/>
    </row>
    <row r="39" spans="1:17" ht="18" x14ac:dyDescent="0.35">
      <c r="A39" s="11" t="s">
        <v>128</v>
      </c>
      <c r="B39" s="11"/>
      <c r="C39" s="11"/>
    </row>
    <row r="40" spans="1:17" ht="15.6" x14ac:dyDescent="0.3">
      <c r="A40" s="19" t="s">
        <v>129</v>
      </c>
      <c r="B40" s="19"/>
      <c r="C40" s="19"/>
      <c r="D40" s="19"/>
      <c r="E40" s="19"/>
      <c r="F40" s="19"/>
      <c r="G40" s="19"/>
      <c r="H40" s="19"/>
      <c r="I40" s="19"/>
      <c r="J40" s="19"/>
      <c r="K40" s="5"/>
    </row>
    <row r="41" spans="1:17" ht="18" x14ac:dyDescent="0.35">
      <c r="A41" s="11" t="s">
        <v>130</v>
      </c>
      <c r="B41" s="11"/>
      <c r="C41" s="11"/>
    </row>
    <row r="42" spans="1:17" ht="15.6" x14ac:dyDescent="0.3">
      <c r="A42" s="19" t="s">
        <v>131</v>
      </c>
      <c r="B42" s="19"/>
      <c r="C42" s="19"/>
      <c r="D42" s="19"/>
      <c r="E42" s="19"/>
      <c r="F42" s="19"/>
      <c r="G42" s="19"/>
      <c r="H42" s="19"/>
      <c r="I42" s="19"/>
      <c r="J42" s="19"/>
      <c r="K42" s="19"/>
      <c r="L42" s="19"/>
      <c r="M42" s="19"/>
      <c r="N42" s="19"/>
      <c r="O42" s="19"/>
      <c r="P42" s="19"/>
      <c r="Q42" s="5"/>
    </row>
  </sheetData>
  <sheetProtection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A94F4-7054-4992-AD34-42747ACACACE}">
  <dimension ref="S10"/>
  <sheetViews>
    <sheetView showGridLines="0" showRowColHeaders="0" tabSelected="1" topLeftCell="B17" zoomScale="99" zoomScaleNormal="99" workbookViewId="0">
      <selection activeCell="C23" sqref="C23"/>
    </sheetView>
  </sheetViews>
  <sheetFormatPr defaultRowHeight="14.4" x14ac:dyDescent="0.3"/>
  <sheetData>
    <row r="10" spans="19:19" x14ac:dyDescent="0.3">
      <c r="S10" s="5"/>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2BB62-7531-430C-9F5F-054C3AA295B6}">
  <dimension ref="A3:K17"/>
  <sheetViews>
    <sheetView workbookViewId="0">
      <selection activeCell="G10" sqref="G10"/>
    </sheetView>
  </sheetViews>
  <sheetFormatPr defaultRowHeight="14.4" x14ac:dyDescent="0.3"/>
  <cols>
    <col min="1" max="1" width="12.5546875" customWidth="1"/>
    <col min="2" max="2" width="14.88671875" customWidth="1"/>
    <col min="4" max="4" width="14" customWidth="1"/>
    <col min="5" max="5" width="11.77734375" customWidth="1"/>
    <col min="7" max="7" width="12.5546875" customWidth="1"/>
    <col min="8" max="8" width="14.88671875" customWidth="1"/>
    <col min="10" max="10" width="14" customWidth="1"/>
    <col min="11" max="11" width="14.88671875" customWidth="1"/>
  </cols>
  <sheetData>
    <row r="3" spans="1:11" x14ac:dyDescent="0.3">
      <c r="A3" s="3" t="s">
        <v>90</v>
      </c>
      <c r="B3" t="s">
        <v>92</v>
      </c>
      <c r="D3" s="3" t="s">
        <v>90</v>
      </c>
      <c r="E3" t="s">
        <v>95</v>
      </c>
      <c r="G3" s="3" t="s">
        <v>90</v>
      </c>
      <c r="H3" t="s">
        <v>92</v>
      </c>
      <c r="J3" s="3" t="s">
        <v>90</v>
      </c>
      <c r="K3" t="s">
        <v>92</v>
      </c>
    </row>
    <row r="4" spans="1:11" x14ac:dyDescent="0.3">
      <c r="A4" s="4" t="s">
        <v>19</v>
      </c>
      <c r="B4">
        <v>67700</v>
      </c>
      <c r="D4" s="4" t="s">
        <v>19</v>
      </c>
      <c r="E4">
        <v>24200</v>
      </c>
      <c r="G4" s="4" t="s">
        <v>58</v>
      </c>
      <c r="H4">
        <v>26600</v>
      </c>
      <c r="J4" s="4" t="s">
        <v>63</v>
      </c>
      <c r="K4">
        <v>27000</v>
      </c>
    </row>
    <row r="5" spans="1:11" x14ac:dyDescent="0.3">
      <c r="A5" s="4" t="s">
        <v>9</v>
      </c>
      <c r="B5">
        <v>67000</v>
      </c>
      <c r="D5" s="4" t="s">
        <v>9</v>
      </c>
      <c r="E5">
        <v>21000</v>
      </c>
      <c r="G5" s="4" t="s">
        <v>62</v>
      </c>
      <c r="H5">
        <v>171000</v>
      </c>
      <c r="J5" s="4" t="s">
        <v>60</v>
      </c>
      <c r="K5">
        <v>9000</v>
      </c>
    </row>
    <row r="6" spans="1:11" x14ac:dyDescent="0.3">
      <c r="A6" s="4" t="s">
        <v>14</v>
      </c>
      <c r="B6">
        <v>62900</v>
      </c>
      <c r="D6" s="4" t="s">
        <v>14</v>
      </c>
      <c r="E6">
        <v>21000</v>
      </c>
      <c r="G6" s="4" t="s">
        <v>91</v>
      </c>
      <c r="H6">
        <v>197600</v>
      </c>
      <c r="J6" s="4" t="s">
        <v>57</v>
      </c>
      <c r="K6">
        <v>9600</v>
      </c>
    </row>
    <row r="7" spans="1:11" x14ac:dyDescent="0.3">
      <c r="A7" s="4" t="s">
        <v>91</v>
      </c>
      <c r="B7">
        <v>197600</v>
      </c>
      <c r="D7" s="4" t="s">
        <v>91</v>
      </c>
      <c r="E7">
        <v>66200</v>
      </c>
      <c r="J7" s="4" t="s">
        <v>61</v>
      </c>
      <c r="K7">
        <v>108000</v>
      </c>
    </row>
    <row r="8" spans="1:11" x14ac:dyDescent="0.3">
      <c r="J8" s="4" t="s">
        <v>64</v>
      </c>
      <c r="K8">
        <v>36000</v>
      </c>
    </row>
    <row r="9" spans="1:11" x14ac:dyDescent="0.3">
      <c r="J9" s="4" t="s">
        <v>59</v>
      </c>
      <c r="K9">
        <v>8000</v>
      </c>
    </row>
    <row r="10" spans="1:11" x14ac:dyDescent="0.3">
      <c r="A10" s="3" t="s">
        <v>90</v>
      </c>
      <c r="B10" t="s">
        <v>92</v>
      </c>
      <c r="D10" s="3" t="s">
        <v>90</v>
      </c>
      <c r="E10" t="s">
        <v>96</v>
      </c>
      <c r="G10" s="3" t="s">
        <v>90</v>
      </c>
      <c r="H10" t="s">
        <v>92</v>
      </c>
      <c r="J10" s="4" t="s">
        <v>91</v>
      </c>
      <c r="K10">
        <v>197600</v>
      </c>
    </row>
    <row r="11" spans="1:11" x14ac:dyDescent="0.3">
      <c r="A11" s="4" t="s">
        <v>21</v>
      </c>
      <c r="B11">
        <v>13600</v>
      </c>
      <c r="D11" s="4" t="s">
        <v>63</v>
      </c>
      <c r="E11">
        <v>9</v>
      </c>
      <c r="G11" s="4" t="s">
        <v>17</v>
      </c>
      <c r="H11">
        <v>57100</v>
      </c>
    </row>
    <row r="12" spans="1:11" x14ac:dyDescent="0.3">
      <c r="A12" s="4" t="s">
        <v>28</v>
      </c>
      <c r="B12">
        <v>66200</v>
      </c>
      <c r="D12" s="4" t="s">
        <v>60</v>
      </c>
      <c r="E12">
        <v>6</v>
      </c>
      <c r="G12" s="4" t="s">
        <v>22</v>
      </c>
      <c r="H12">
        <v>10600</v>
      </c>
    </row>
    <row r="13" spans="1:11" x14ac:dyDescent="0.3">
      <c r="A13" s="4" t="s">
        <v>16</v>
      </c>
      <c r="B13">
        <v>56900</v>
      </c>
      <c r="D13" s="4" t="s">
        <v>57</v>
      </c>
      <c r="E13">
        <v>8</v>
      </c>
      <c r="G13" s="4" t="s">
        <v>78</v>
      </c>
      <c r="H13">
        <v>18000</v>
      </c>
    </row>
    <row r="14" spans="1:11" x14ac:dyDescent="0.3">
      <c r="A14" s="4" t="s">
        <v>11</v>
      </c>
      <c r="B14">
        <v>60900</v>
      </c>
      <c r="D14" s="4" t="s">
        <v>61</v>
      </c>
      <c r="E14">
        <v>9</v>
      </c>
      <c r="G14" s="4" t="s">
        <v>12</v>
      </c>
      <c r="H14">
        <v>111900</v>
      </c>
    </row>
    <row r="15" spans="1:11" x14ac:dyDescent="0.3">
      <c r="A15" s="4" t="s">
        <v>91</v>
      </c>
      <c r="B15">
        <v>197600</v>
      </c>
      <c r="D15" s="4" t="s">
        <v>64</v>
      </c>
      <c r="E15">
        <v>8</v>
      </c>
      <c r="G15" s="4" t="s">
        <v>91</v>
      </c>
      <c r="H15">
        <v>197600</v>
      </c>
    </row>
    <row r="16" spans="1:11" x14ac:dyDescent="0.3">
      <c r="D16" s="4" t="s">
        <v>59</v>
      </c>
      <c r="E16">
        <v>10</v>
      </c>
    </row>
    <row r="17" spans="4:5" x14ac:dyDescent="0.3">
      <c r="D17" s="4" t="s">
        <v>91</v>
      </c>
      <c r="E17">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1DF4-2BFA-4843-90ED-9422CB77E0F7}">
  <dimension ref="A1:W24"/>
  <sheetViews>
    <sheetView workbookViewId="0">
      <selection activeCell="C23" sqref="C23"/>
    </sheetView>
  </sheetViews>
  <sheetFormatPr defaultRowHeight="14.4" x14ac:dyDescent="0.3"/>
  <cols>
    <col min="1" max="1" width="11.109375" customWidth="1"/>
    <col min="2" max="2" width="9.6640625" customWidth="1"/>
    <col min="3" max="3" width="18" customWidth="1"/>
    <col min="4" max="4" width="10.5546875" customWidth="1"/>
    <col min="5" max="5" width="15.77734375" customWidth="1"/>
    <col min="6" max="6" width="8" customWidth="1"/>
    <col min="7" max="7" width="14.21875" customWidth="1"/>
    <col min="8" max="8" width="18.88671875" customWidth="1"/>
    <col min="9" max="9" width="14.88671875" customWidth="1"/>
    <col min="10" max="10" width="18.77734375" customWidth="1"/>
    <col min="11" max="11" width="16.6640625" customWidth="1"/>
    <col min="12" max="12" width="23.5546875" customWidth="1"/>
    <col min="13" max="13" width="14.5546875" customWidth="1"/>
    <col min="14" max="14" width="11.5546875" customWidth="1"/>
    <col min="15" max="15" width="12.44140625" customWidth="1"/>
    <col min="16" max="16" width="15.44140625" customWidth="1"/>
    <col min="17" max="17" width="9.44140625" customWidth="1"/>
    <col min="18" max="18" width="11.33203125" customWidth="1"/>
    <col min="19" max="19" width="12.5546875" customWidth="1"/>
    <col min="20" max="20" width="8.5546875" customWidth="1"/>
    <col min="21" max="21" width="15.44140625" customWidth="1"/>
    <col min="22" max="22" width="17.21875" customWidth="1"/>
    <col min="23" max="23" width="21.77734375" customWidth="1"/>
  </cols>
  <sheetData>
    <row r="1" spans="1:23" x14ac:dyDescent="0.3">
      <c r="A1" t="s">
        <v>0</v>
      </c>
      <c r="B1" t="s">
        <v>1</v>
      </c>
      <c r="C1" t="s">
        <v>2</v>
      </c>
      <c r="D1" t="s">
        <v>3</v>
      </c>
      <c r="E1" t="s">
        <v>4</v>
      </c>
      <c r="F1" t="s">
        <v>5</v>
      </c>
      <c r="G1" t="s">
        <v>6</v>
      </c>
      <c r="H1" t="s">
        <v>7</v>
      </c>
      <c r="I1" t="s">
        <v>79</v>
      </c>
      <c r="J1" t="s">
        <v>80</v>
      </c>
      <c r="K1" t="s">
        <v>81</v>
      </c>
      <c r="L1" t="s">
        <v>82</v>
      </c>
      <c r="M1" t="s">
        <v>53</v>
      </c>
      <c r="N1" t="s">
        <v>54</v>
      </c>
      <c r="O1" t="s">
        <v>55</v>
      </c>
      <c r="P1" t="s">
        <v>83</v>
      </c>
      <c r="Q1" t="s">
        <v>65</v>
      </c>
      <c r="R1" t="s">
        <v>84</v>
      </c>
      <c r="S1" t="s">
        <v>85</v>
      </c>
      <c r="T1" t="s">
        <v>86</v>
      </c>
      <c r="U1" t="s">
        <v>87</v>
      </c>
      <c r="V1" t="s">
        <v>88</v>
      </c>
      <c r="W1" t="s">
        <v>89</v>
      </c>
    </row>
    <row r="2" spans="1:23" x14ac:dyDescent="0.3">
      <c r="A2" t="s">
        <v>8</v>
      </c>
      <c r="B2" s="1">
        <v>45662</v>
      </c>
      <c r="C2" s="1" t="s">
        <v>69</v>
      </c>
      <c r="D2" t="s">
        <v>9</v>
      </c>
      <c r="E2" t="s">
        <v>10</v>
      </c>
      <c r="F2">
        <v>2</v>
      </c>
      <c r="G2" t="s">
        <v>11</v>
      </c>
      <c r="H2" t="s">
        <v>12</v>
      </c>
      <c r="I2" t="str">
        <f>LEFT(A2,3)</f>
        <v>HYD</v>
      </c>
      <c r="J2" t="str">
        <f>MID(A2,4,2)</f>
        <v>25</v>
      </c>
      <c r="K2" t="str">
        <f>RIGHT(A2,3)</f>
        <v>001</v>
      </c>
      <c r="L2" t="str">
        <f>_xlfn.CONCAT(C2,"-",D2)</f>
        <v>Rahul Sharma-Hyderabad</v>
      </c>
      <c r="M2" t="str">
        <f>_xlfn.XLOOKUP(Sales_Performance[[#This Row],[Product Code]],Table2[Product Code],Table2[Product])</f>
        <v>Laptop Stand</v>
      </c>
      <c r="N2" t="str">
        <f>VLOOKUP(Sales_Performance[[#This Row],[Product Code]],Table2[#All],3,0)</f>
        <v>Accessories</v>
      </c>
      <c r="O2">
        <f>_xlfn.XLOOKUP(Sales_Performance[[#This Row],[Product Code]],Table2[Product Code],Table2[Unit Price])</f>
        <v>1200</v>
      </c>
      <c r="P2">
        <f>VLOOKUP(Sales_Performance[[#This Row],[Product Code]],Table2[],5,0)</f>
        <v>800</v>
      </c>
      <c r="Q2" t="str">
        <f>VLOOKUP(D2,'City Lookup'!$A$3:$B$5,2,0)</f>
        <v>South</v>
      </c>
      <c r="R2">
        <f>F2*O2</f>
        <v>2400</v>
      </c>
      <c r="S2">
        <f>F2*P2</f>
        <v>1600</v>
      </c>
      <c r="T2">
        <f>R2-S2</f>
        <v>800</v>
      </c>
      <c r="U2" s="2">
        <f>T2/R2*100%</f>
        <v>0.33333333333333331</v>
      </c>
      <c r="V2" t="str">
        <f>IF(AND(R2&gt;=2000,S2&gt;=500),"High Performance","Regular")</f>
        <v>High Performance</v>
      </c>
      <c r="W2" t="str">
        <f>IF(OR(R2&gt;=2000,T2&gt;=500),"Rivew","Normal")</f>
        <v>Rivew</v>
      </c>
    </row>
    <row r="3" spans="1:23" x14ac:dyDescent="0.3">
      <c r="A3" t="s">
        <v>13</v>
      </c>
      <c r="B3" s="1">
        <v>45663</v>
      </c>
      <c r="C3" s="1" t="s">
        <v>52</v>
      </c>
      <c r="D3" t="s">
        <v>14</v>
      </c>
      <c r="E3" t="s">
        <v>15</v>
      </c>
      <c r="F3">
        <v>3</v>
      </c>
      <c r="G3" t="s">
        <v>16</v>
      </c>
      <c r="H3" t="s">
        <v>17</v>
      </c>
      <c r="I3" t="str">
        <f t="shared" ref="I3:I21" si="0">LEFT(A3,3)</f>
        <v>MUM</v>
      </c>
      <c r="J3" t="str">
        <f t="shared" ref="J3:J21" si="1">MID(A3,4,2)</f>
        <v>25</v>
      </c>
      <c r="K3" t="str">
        <f t="shared" ref="K3:K21" si="2">RIGHT(A3,3)</f>
        <v>002</v>
      </c>
      <c r="L3" t="str">
        <f t="shared" ref="L3:L21" si="3">_xlfn.CONCAT(C3,"-",D3)</f>
        <v>Priya Reddy-Mumbai</v>
      </c>
      <c r="M3" t="str">
        <f>_xlfn.XLOOKUP(Sales_Performance[[#This Row],[Product Code]],Table2[Product Code],Table2[Product])</f>
        <v>Wireless Mouse</v>
      </c>
      <c r="N3" t="str">
        <f>VLOOKUP(Sales_Performance[[#This Row],[Product Code]],Table2[#All],3,0)</f>
        <v>Accessories</v>
      </c>
      <c r="O3">
        <f>_xlfn.XLOOKUP(Sales_Performance[[#This Row],[Product Code]],Table2[Product Code],Table2[Unit Price])</f>
        <v>800</v>
      </c>
      <c r="P3">
        <f>VLOOKUP(Sales_Performance[[#This Row],[Product Code]],Table2[],5,0)</f>
        <v>450</v>
      </c>
      <c r="Q3" t="str">
        <f>VLOOKUP(D3,'City Lookup'!$A$3:$B$5,2,0)</f>
        <v>West</v>
      </c>
      <c r="R3">
        <f t="shared" ref="R3:R21" si="4">F3*O3</f>
        <v>2400</v>
      </c>
      <c r="S3">
        <f t="shared" ref="S3:S21" si="5">F3*P3</f>
        <v>1350</v>
      </c>
      <c r="T3">
        <f t="shared" ref="T3:T21" si="6">R3-S3</f>
        <v>1050</v>
      </c>
      <c r="U3" s="2">
        <f t="shared" ref="U3:U21" si="7">T3/R3*100%</f>
        <v>0.4375</v>
      </c>
      <c r="V3" t="str">
        <f t="shared" ref="V3:V21" si="8">IF(AND(R3&gt;=2000,S3&gt;=500),"High Performance","Regular")</f>
        <v>High Performance</v>
      </c>
      <c r="W3" t="str">
        <f t="shared" ref="W3:W21" si="9">IF(OR(R3&gt;=2000,T3&gt;=500),"Rivew","Normal")</f>
        <v>Rivew</v>
      </c>
    </row>
    <row r="4" spans="1:23" x14ac:dyDescent="0.3">
      <c r="A4" t="s">
        <v>18</v>
      </c>
      <c r="B4" s="1">
        <v>45664</v>
      </c>
      <c r="C4" s="1" t="s">
        <v>70</v>
      </c>
      <c r="D4" t="s">
        <v>19</v>
      </c>
      <c r="E4" t="s">
        <v>20</v>
      </c>
      <c r="F4">
        <v>1</v>
      </c>
      <c r="G4" t="s">
        <v>21</v>
      </c>
      <c r="H4" t="s">
        <v>22</v>
      </c>
      <c r="I4" t="str">
        <f t="shared" si="0"/>
        <v>DEL</v>
      </c>
      <c r="J4" t="str">
        <f t="shared" si="1"/>
        <v>25</v>
      </c>
      <c r="K4" t="str">
        <f t="shared" si="2"/>
        <v>003</v>
      </c>
      <c r="L4" t="str">
        <f t="shared" si="3"/>
        <v>Aman Khan-Delhi</v>
      </c>
      <c r="M4" t="str">
        <f>_xlfn.XLOOKUP(Sales_Performance[[#This Row],[Product Code]],Table2[Product Code],Table2[Product])</f>
        <v>Keyboard</v>
      </c>
      <c r="N4" t="str">
        <f>VLOOKUP(Sales_Performance[[#This Row],[Product Code]],Table2[#All],3,0)</f>
        <v>Accessories</v>
      </c>
      <c r="O4">
        <f>_xlfn.XLOOKUP(Sales_Performance[[#This Row],[Product Code]],Table2[Product Code],Table2[Unit Price])</f>
        <v>1500</v>
      </c>
      <c r="P4">
        <f>VLOOKUP(Sales_Performance[[#This Row],[Product Code]],Table2[],5,0)</f>
        <v>900</v>
      </c>
      <c r="Q4" t="str">
        <f>VLOOKUP(D4,'City Lookup'!$A$3:$B$5,2,0)</f>
        <v>North</v>
      </c>
      <c r="R4">
        <f t="shared" si="4"/>
        <v>1500</v>
      </c>
      <c r="S4">
        <f t="shared" si="5"/>
        <v>900</v>
      </c>
      <c r="T4">
        <f t="shared" si="6"/>
        <v>600</v>
      </c>
      <c r="U4" s="2">
        <f t="shared" si="7"/>
        <v>0.4</v>
      </c>
      <c r="V4" t="str">
        <f t="shared" si="8"/>
        <v>Regular</v>
      </c>
      <c r="W4" t="str">
        <f t="shared" si="9"/>
        <v>Rivew</v>
      </c>
    </row>
    <row r="5" spans="1:23" x14ac:dyDescent="0.3">
      <c r="A5" t="s">
        <v>23</v>
      </c>
      <c r="B5" s="1">
        <v>45665</v>
      </c>
      <c r="C5" s="1" t="s">
        <v>71</v>
      </c>
      <c r="D5" t="s">
        <v>9</v>
      </c>
      <c r="E5" t="s">
        <v>24</v>
      </c>
      <c r="F5">
        <v>4</v>
      </c>
      <c r="G5" t="s">
        <v>11</v>
      </c>
      <c r="H5" t="s">
        <v>12</v>
      </c>
      <c r="I5" t="str">
        <f t="shared" si="0"/>
        <v>HYD</v>
      </c>
      <c r="J5" t="str">
        <f t="shared" si="1"/>
        <v>25</v>
      </c>
      <c r="K5" t="str">
        <f t="shared" si="2"/>
        <v>004</v>
      </c>
      <c r="L5" t="str">
        <f t="shared" si="3"/>
        <v>Sneha Rao-Hyderabad</v>
      </c>
      <c r="M5" t="str">
        <f>_xlfn.XLOOKUP(Sales_Performance[[#This Row],[Product Code]],Table2[Product Code],Table2[Product])</f>
        <v>Monitor</v>
      </c>
      <c r="N5" t="str">
        <f>VLOOKUP(Sales_Performance[[#This Row],[Product Code]],Table2[#All],3,0)</f>
        <v>Electronics</v>
      </c>
      <c r="O5">
        <f>_xlfn.XLOOKUP(Sales_Performance[[#This Row],[Product Code]],Table2[Product Code],Table2[Unit Price])</f>
        <v>12000</v>
      </c>
      <c r="P5">
        <f>VLOOKUP(Sales_Performance[[#This Row],[Product Code]],Table2[],5,0)</f>
        <v>8500</v>
      </c>
      <c r="Q5" t="str">
        <f>VLOOKUP(D5,'City Lookup'!$A$3:$B$5,2,0)</f>
        <v>South</v>
      </c>
      <c r="R5">
        <f t="shared" si="4"/>
        <v>48000</v>
      </c>
      <c r="S5">
        <f t="shared" si="5"/>
        <v>34000</v>
      </c>
      <c r="T5">
        <f t="shared" si="6"/>
        <v>14000</v>
      </c>
      <c r="U5" s="2">
        <f t="shared" si="7"/>
        <v>0.29166666666666669</v>
      </c>
      <c r="V5" t="str">
        <f t="shared" si="8"/>
        <v>High Performance</v>
      </c>
      <c r="W5" t="str">
        <f t="shared" si="9"/>
        <v>Rivew</v>
      </c>
    </row>
    <row r="6" spans="1:23" x14ac:dyDescent="0.3">
      <c r="A6" t="s">
        <v>25</v>
      </c>
      <c r="B6" s="1">
        <v>45666</v>
      </c>
      <c r="C6" s="1" t="s">
        <v>72</v>
      </c>
      <c r="D6" t="s">
        <v>14</v>
      </c>
      <c r="E6" t="s">
        <v>10</v>
      </c>
      <c r="F6">
        <v>1</v>
      </c>
      <c r="G6" t="s">
        <v>16</v>
      </c>
      <c r="H6" t="s">
        <v>17</v>
      </c>
      <c r="I6" t="str">
        <f t="shared" si="0"/>
        <v>MUM</v>
      </c>
      <c r="J6" t="str">
        <f t="shared" si="1"/>
        <v>25</v>
      </c>
      <c r="K6" t="str">
        <f t="shared" si="2"/>
        <v>005</v>
      </c>
      <c r="L6" t="str">
        <f t="shared" si="3"/>
        <v>Arjun Mehta-Mumbai</v>
      </c>
      <c r="M6" t="str">
        <f>_xlfn.XLOOKUP(Sales_Performance[[#This Row],[Product Code]],Table2[Product Code],Table2[Product])</f>
        <v>Laptop Stand</v>
      </c>
      <c r="N6" t="str">
        <f>VLOOKUP(Sales_Performance[[#This Row],[Product Code]],Table2[#All],3,0)</f>
        <v>Accessories</v>
      </c>
      <c r="O6">
        <f>_xlfn.XLOOKUP(Sales_Performance[[#This Row],[Product Code]],Table2[Product Code],Table2[Unit Price])</f>
        <v>1200</v>
      </c>
      <c r="P6">
        <f>VLOOKUP(Sales_Performance[[#This Row],[Product Code]],Table2[],5,0)</f>
        <v>800</v>
      </c>
      <c r="Q6" t="str">
        <f>VLOOKUP(D6,'City Lookup'!$A$3:$B$5,2,0)</f>
        <v>West</v>
      </c>
      <c r="R6">
        <f t="shared" si="4"/>
        <v>1200</v>
      </c>
      <c r="S6">
        <f t="shared" si="5"/>
        <v>800</v>
      </c>
      <c r="T6">
        <f t="shared" si="6"/>
        <v>400</v>
      </c>
      <c r="U6" s="2">
        <f t="shared" si="7"/>
        <v>0.33333333333333331</v>
      </c>
      <c r="V6" t="str">
        <f t="shared" si="8"/>
        <v>Regular</v>
      </c>
      <c r="W6" t="str">
        <f t="shared" si="9"/>
        <v>Normal</v>
      </c>
    </row>
    <row r="7" spans="1:23" x14ac:dyDescent="0.3">
      <c r="A7" t="s">
        <v>26</v>
      </c>
      <c r="B7" s="1">
        <v>45667</v>
      </c>
      <c r="C7" s="1" t="s">
        <v>73</v>
      </c>
      <c r="D7" t="s">
        <v>19</v>
      </c>
      <c r="E7" t="s">
        <v>27</v>
      </c>
      <c r="F7">
        <v>5</v>
      </c>
      <c r="G7" t="s">
        <v>28</v>
      </c>
      <c r="H7" t="s">
        <v>12</v>
      </c>
      <c r="I7" t="str">
        <f t="shared" si="0"/>
        <v>DEL</v>
      </c>
      <c r="J7" t="str">
        <f t="shared" si="1"/>
        <v>25</v>
      </c>
      <c r="K7" t="str">
        <f t="shared" si="2"/>
        <v>006</v>
      </c>
      <c r="L7" t="str">
        <f t="shared" si="3"/>
        <v>Ayesha Ali-Delhi</v>
      </c>
      <c r="M7" t="str">
        <f>_xlfn.XLOOKUP(Sales_Performance[[#This Row],[Product Code]],Table2[Product Code],Table2[Product])</f>
        <v>Headset</v>
      </c>
      <c r="N7" t="str">
        <f>VLOOKUP(Sales_Performance[[#This Row],[Product Code]],Table2[#All],3,0)</f>
        <v>Electronics</v>
      </c>
      <c r="O7">
        <f>_xlfn.XLOOKUP(Sales_Performance[[#This Row],[Product Code]],Table2[Product Code],Table2[Unit Price])</f>
        <v>3000</v>
      </c>
      <c r="P7">
        <f>VLOOKUP(Sales_Performance[[#This Row],[Product Code]],Table2[],5,0)</f>
        <v>1800</v>
      </c>
      <c r="Q7" t="str">
        <f>VLOOKUP(D7,'City Lookup'!$A$3:$B$5,2,0)</f>
        <v>North</v>
      </c>
      <c r="R7">
        <f t="shared" si="4"/>
        <v>15000</v>
      </c>
      <c r="S7">
        <f t="shared" si="5"/>
        <v>9000</v>
      </c>
      <c r="T7">
        <f t="shared" si="6"/>
        <v>6000</v>
      </c>
      <c r="U7" s="2">
        <f t="shared" si="7"/>
        <v>0.4</v>
      </c>
      <c r="V7" t="str">
        <f t="shared" si="8"/>
        <v>High Performance</v>
      </c>
      <c r="W7" t="str">
        <f t="shared" si="9"/>
        <v>Rivew</v>
      </c>
    </row>
    <row r="8" spans="1:23" x14ac:dyDescent="0.3">
      <c r="A8" t="s">
        <v>29</v>
      </c>
      <c r="B8" s="1">
        <v>45668</v>
      </c>
      <c r="C8" s="1" t="s">
        <v>74</v>
      </c>
      <c r="D8" t="s">
        <v>9</v>
      </c>
      <c r="E8" t="s">
        <v>15</v>
      </c>
      <c r="F8">
        <v>2</v>
      </c>
      <c r="G8" t="s">
        <v>21</v>
      </c>
      <c r="H8" t="s">
        <v>22</v>
      </c>
      <c r="I8" t="str">
        <f t="shared" si="0"/>
        <v>HYD</v>
      </c>
      <c r="J8" t="str">
        <f t="shared" si="1"/>
        <v>25</v>
      </c>
      <c r="K8" t="str">
        <f t="shared" si="2"/>
        <v>007</v>
      </c>
      <c r="L8" t="str">
        <f t="shared" si="3"/>
        <v>Rohit Kumar-Hyderabad</v>
      </c>
      <c r="M8" t="str">
        <f>_xlfn.XLOOKUP(Sales_Performance[[#This Row],[Product Code]],Table2[Product Code],Table2[Product])</f>
        <v>Wireless Mouse</v>
      </c>
      <c r="N8" t="str">
        <f>VLOOKUP(Sales_Performance[[#This Row],[Product Code]],Table2[#All],3,0)</f>
        <v>Accessories</v>
      </c>
      <c r="O8">
        <f>_xlfn.XLOOKUP(Sales_Performance[[#This Row],[Product Code]],Table2[Product Code],Table2[Unit Price])</f>
        <v>800</v>
      </c>
      <c r="P8">
        <f>VLOOKUP(Sales_Performance[[#This Row],[Product Code]],Table2[],5,0)</f>
        <v>450</v>
      </c>
      <c r="Q8" t="str">
        <f>VLOOKUP(D8,'City Lookup'!$A$3:$B$5,2,0)</f>
        <v>South</v>
      </c>
      <c r="R8">
        <f t="shared" si="4"/>
        <v>1600</v>
      </c>
      <c r="S8">
        <f t="shared" si="5"/>
        <v>900</v>
      </c>
      <c r="T8">
        <f t="shared" si="6"/>
        <v>700</v>
      </c>
      <c r="U8" s="2">
        <f t="shared" si="7"/>
        <v>0.4375</v>
      </c>
      <c r="V8" t="str">
        <f t="shared" si="8"/>
        <v>Regular</v>
      </c>
      <c r="W8" t="str">
        <f t="shared" si="9"/>
        <v>Rivew</v>
      </c>
    </row>
    <row r="9" spans="1:23" x14ac:dyDescent="0.3">
      <c r="A9" t="s">
        <v>30</v>
      </c>
      <c r="B9" s="1">
        <v>45669</v>
      </c>
      <c r="C9" s="1" t="s">
        <v>31</v>
      </c>
      <c r="D9" t="s">
        <v>14</v>
      </c>
      <c r="E9" t="s">
        <v>32</v>
      </c>
      <c r="F9">
        <v>3</v>
      </c>
      <c r="G9" t="s">
        <v>16</v>
      </c>
      <c r="H9" t="s">
        <v>17</v>
      </c>
      <c r="I9" t="str">
        <f t="shared" si="0"/>
        <v>MUM</v>
      </c>
      <c r="J9" t="str">
        <f t="shared" si="1"/>
        <v>25</v>
      </c>
      <c r="K9" t="str">
        <f t="shared" si="2"/>
        <v>008</v>
      </c>
      <c r="L9" t="str">
        <f t="shared" si="3"/>
        <v>Neha Verma-Mumbai</v>
      </c>
      <c r="M9" t="str">
        <f>_xlfn.XLOOKUP(Sales_Performance[[#This Row],[Product Code]],Table2[Product Code],Table2[Product])</f>
        <v>Webcam</v>
      </c>
      <c r="N9" t="str">
        <f>VLOOKUP(Sales_Performance[[#This Row],[Product Code]],Table2[#All],3,0)</f>
        <v>Electronics</v>
      </c>
      <c r="O9">
        <f>_xlfn.XLOOKUP(Sales_Performance[[#This Row],[Product Code]],Table2[Product Code],Table2[Unit Price])</f>
        <v>4500</v>
      </c>
      <c r="P9">
        <f>VLOOKUP(Sales_Performance[[#This Row],[Product Code]],Table2[],5,0)</f>
        <v>2800</v>
      </c>
      <c r="Q9" t="str">
        <f>VLOOKUP(D9,'City Lookup'!$A$3:$B$5,2,0)</f>
        <v>West</v>
      </c>
      <c r="R9">
        <f t="shared" si="4"/>
        <v>13500</v>
      </c>
      <c r="S9">
        <f t="shared" si="5"/>
        <v>8400</v>
      </c>
      <c r="T9">
        <f t="shared" si="6"/>
        <v>5100</v>
      </c>
      <c r="U9" s="2">
        <f t="shared" si="7"/>
        <v>0.37777777777777777</v>
      </c>
      <c r="V9" t="str">
        <f t="shared" si="8"/>
        <v>High Performance</v>
      </c>
      <c r="W9" t="str">
        <f t="shared" si="9"/>
        <v>Rivew</v>
      </c>
    </row>
    <row r="10" spans="1:23" x14ac:dyDescent="0.3">
      <c r="A10" t="s">
        <v>33</v>
      </c>
      <c r="B10" s="1">
        <v>45670</v>
      </c>
      <c r="C10" s="1" t="s">
        <v>75</v>
      </c>
      <c r="D10" t="s">
        <v>19</v>
      </c>
      <c r="E10" t="s">
        <v>24</v>
      </c>
      <c r="F10">
        <v>2</v>
      </c>
      <c r="G10" t="s">
        <v>28</v>
      </c>
      <c r="H10" t="s">
        <v>12</v>
      </c>
      <c r="I10" t="str">
        <f t="shared" si="0"/>
        <v>DEL</v>
      </c>
      <c r="J10" t="str">
        <f t="shared" si="1"/>
        <v>25</v>
      </c>
      <c r="K10" t="str">
        <f t="shared" si="2"/>
        <v>009</v>
      </c>
      <c r="L10" t="str">
        <f t="shared" si="3"/>
        <v>Kiran Rao-Delhi</v>
      </c>
      <c r="M10" t="str">
        <f>_xlfn.XLOOKUP(Sales_Performance[[#This Row],[Product Code]],Table2[Product Code],Table2[Product])</f>
        <v>Monitor</v>
      </c>
      <c r="N10" t="str">
        <f>VLOOKUP(Sales_Performance[[#This Row],[Product Code]],Table2[#All],3,0)</f>
        <v>Electronics</v>
      </c>
      <c r="O10">
        <f>_xlfn.XLOOKUP(Sales_Performance[[#This Row],[Product Code]],Table2[Product Code],Table2[Unit Price])</f>
        <v>12000</v>
      </c>
      <c r="P10">
        <f>VLOOKUP(Sales_Performance[[#This Row],[Product Code]],Table2[],5,0)</f>
        <v>8500</v>
      </c>
      <c r="Q10" t="str">
        <f>VLOOKUP(D10,'City Lookup'!$A$3:$B$5,2,0)</f>
        <v>North</v>
      </c>
      <c r="R10">
        <f t="shared" si="4"/>
        <v>24000</v>
      </c>
      <c r="S10">
        <f t="shared" si="5"/>
        <v>17000</v>
      </c>
      <c r="T10">
        <f t="shared" si="6"/>
        <v>7000</v>
      </c>
      <c r="U10" s="2">
        <f t="shared" si="7"/>
        <v>0.29166666666666669</v>
      </c>
      <c r="V10" t="str">
        <f t="shared" si="8"/>
        <v>High Performance</v>
      </c>
      <c r="W10" t="str">
        <f t="shared" si="9"/>
        <v>Rivew</v>
      </c>
    </row>
    <row r="11" spans="1:23" x14ac:dyDescent="0.3">
      <c r="A11" t="s">
        <v>34</v>
      </c>
      <c r="B11" s="1">
        <v>45671</v>
      </c>
      <c r="C11" s="1" t="s">
        <v>76</v>
      </c>
      <c r="D11" t="s">
        <v>9</v>
      </c>
      <c r="E11" t="s">
        <v>20</v>
      </c>
      <c r="F11">
        <v>3</v>
      </c>
      <c r="G11" t="s">
        <v>11</v>
      </c>
      <c r="H11" t="s">
        <v>22</v>
      </c>
      <c r="I11" t="str">
        <f t="shared" si="0"/>
        <v>HYD</v>
      </c>
      <c r="J11" t="str">
        <f t="shared" si="1"/>
        <v>25</v>
      </c>
      <c r="K11" t="str">
        <f t="shared" si="2"/>
        <v>010</v>
      </c>
      <c r="L11" t="str">
        <f t="shared" si="3"/>
        <v>Sana Khan-Hyderabad</v>
      </c>
      <c r="M11" t="str">
        <f>_xlfn.XLOOKUP(Sales_Performance[[#This Row],[Product Code]],Table2[Product Code],Table2[Product])</f>
        <v>Keyboard</v>
      </c>
      <c r="N11" t="str">
        <f>VLOOKUP(Sales_Performance[[#This Row],[Product Code]],Table2[#All],3,0)</f>
        <v>Accessories</v>
      </c>
      <c r="O11">
        <f>_xlfn.XLOOKUP(Sales_Performance[[#This Row],[Product Code]],Table2[Product Code],Table2[Unit Price])</f>
        <v>1500</v>
      </c>
      <c r="P11">
        <f>VLOOKUP(Sales_Performance[[#This Row],[Product Code]],Table2[],5,0)</f>
        <v>900</v>
      </c>
      <c r="Q11" t="str">
        <f>VLOOKUP(D11,'City Lookup'!$A$3:$B$5,2,0)</f>
        <v>South</v>
      </c>
      <c r="R11">
        <f t="shared" si="4"/>
        <v>4500</v>
      </c>
      <c r="S11">
        <f t="shared" si="5"/>
        <v>2700</v>
      </c>
      <c r="T11">
        <f t="shared" si="6"/>
        <v>1800</v>
      </c>
      <c r="U11" s="2">
        <f t="shared" si="7"/>
        <v>0.4</v>
      </c>
      <c r="V11" t="str">
        <f t="shared" si="8"/>
        <v>High Performance</v>
      </c>
      <c r="W11" t="str">
        <f t="shared" si="9"/>
        <v>Rivew</v>
      </c>
    </row>
    <row r="12" spans="1:23" x14ac:dyDescent="0.3">
      <c r="A12" t="s">
        <v>35</v>
      </c>
      <c r="B12" s="1">
        <v>45672</v>
      </c>
      <c r="C12" s="1" t="s">
        <v>36</v>
      </c>
      <c r="D12" t="s">
        <v>14</v>
      </c>
      <c r="E12" t="s">
        <v>27</v>
      </c>
      <c r="F12">
        <v>2</v>
      </c>
      <c r="G12" t="s">
        <v>21</v>
      </c>
      <c r="H12" t="s">
        <v>12</v>
      </c>
      <c r="I12" t="str">
        <f t="shared" si="0"/>
        <v>MUM</v>
      </c>
      <c r="J12" t="str">
        <f t="shared" si="1"/>
        <v>25</v>
      </c>
      <c r="K12" t="str">
        <f t="shared" si="2"/>
        <v>011</v>
      </c>
      <c r="L12" t="str">
        <f t="shared" si="3"/>
        <v>Vivek Patel-Mumbai</v>
      </c>
      <c r="M12" t="str">
        <f>_xlfn.XLOOKUP(Sales_Performance[[#This Row],[Product Code]],Table2[Product Code],Table2[Product])</f>
        <v>Headset</v>
      </c>
      <c r="N12" t="str">
        <f>VLOOKUP(Sales_Performance[[#This Row],[Product Code]],Table2[#All],3,0)</f>
        <v>Electronics</v>
      </c>
      <c r="O12">
        <f>_xlfn.XLOOKUP(Sales_Performance[[#This Row],[Product Code]],Table2[Product Code],Table2[Unit Price])</f>
        <v>3000</v>
      </c>
      <c r="P12">
        <f>VLOOKUP(Sales_Performance[[#This Row],[Product Code]],Table2[],5,0)</f>
        <v>1800</v>
      </c>
      <c r="Q12" t="str">
        <f>VLOOKUP(D12,'City Lookup'!$A$3:$B$5,2,0)</f>
        <v>West</v>
      </c>
      <c r="R12">
        <f t="shared" si="4"/>
        <v>6000</v>
      </c>
      <c r="S12">
        <f t="shared" si="5"/>
        <v>3600</v>
      </c>
      <c r="T12">
        <f t="shared" si="6"/>
        <v>2400</v>
      </c>
      <c r="U12" s="2">
        <f t="shared" si="7"/>
        <v>0.4</v>
      </c>
      <c r="V12" t="str">
        <f t="shared" si="8"/>
        <v>High Performance</v>
      </c>
      <c r="W12" t="str">
        <f t="shared" si="9"/>
        <v>Rivew</v>
      </c>
    </row>
    <row r="13" spans="1:23" x14ac:dyDescent="0.3">
      <c r="A13" t="s">
        <v>37</v>
      </c>
      <c r="B13" s="1">
        <v>45673</v>
      </c>
      <c r="C13" s="1" t="s">
        <v>38</v>
      </c>
      <c r="D13" t="s">
        <v>19</v>
      </c>
      <c r="E13" t="s">
        <v>32</v>
      </c>
      <c r="F13">
        <v>4</v>
      </c>
      <c r="G13" t="s">
        <v>28</v>
      </c>
      <c r="H13" t="s">
        <v>78</v>
      </c>
      <c r="I13" t="str">
        <f t="shared" si="0"/>
        <v>DEL</v>
      </c>
      <c r="J13" t="str">
        <f t="shared" si="1"/>
        <v>25</v>
      </c>
      <c r="K13" t="str">
        <f t="shared" si="2"/>
        <v>012</v>
      </c>
      <c r="L13" t="str">
        <f t="shared" si="3"/>
        <v>Meera Singh-Delhi</v>
      </c>
      <c r="M13" t="str">
        <f>_xlfn.XLOOKUP(Sales_Performance[[#This Row],[Product Code]],Table2[Product Code],Table2[Product])</f>
        <v>Webcam</v>
      </c>
      <c r="N13" t="str">
        <f>VLOOKUP(Sales_Performance[[#This Row],[Product Code]],Table2[#All],3,0)</f>
        <v>Electronics</v>
      </c>
      <c r="O13">
        <f>_xlfn.XLOOKUP(Sales_Performance[[#This Row],[Product Code]],Table2[Product Code],Table2[Unit Price])</f>
        <v>4500</v>
      </c>
      <c r="P13">
        <f>VLOOKUP(Sales_Performance[[#This Row],[Product Code]],Table2[],5,0)</f>
        <v>2800</v>
      </c>
      <c r="Q13" t="str">
        <f>VLOOKUP(D13,'City Lookup'!$A$3:$B$5,2,0)</f>
        <v>North</v>
      </c>
      <c r="R13">
        <f t="shared" si="4"/>
        <v>18000</v>
      </c>
      <c r="S13">
        <f t="shared" si="5"/>
        <v>11200</v>
      </c>
      <c r="T13">
        <f t="shared" si="6"/>
        <v>6800</v>
      </c>
      <c r="U13" s="2">
        <f t="shared" si="7"/>
        <v>0.37777777777777777</v>
      </c>
      <c r="V13" t="str">
        <f t="shared" si="8"/>
        <v>High Performance</v>
      </c>
      <c r="W13" t="str">
        <f t="shared" si="9"/>
        <v>Rivew</v>
      </c>
    </row>
    <row r="14" spans="1:23" x14ac:dyDescent="0.3">
      <c r="A14" t="s">
        <v>39</v>
      </c>
      <c r="B14" s="1">
        <v>45674</v>
      </c>
      <c r="C14" s="1" t="s">
        <v>77</v>
      </c>
      <c r="D14" t="s">
        <v>9</v>
      </c>
      <c r="E14" t="s">
        <v>10</v>
      </c>
      <c r="F14">
        <v>3</v>
      </c>
      <c r="G14" t="s">
        <v>11</v>
      </c>
      <c r="H14" t="s">
        <v>12</v>
      </c>
      <c r="I14" t="str">
        <f t="shared" si="0"/>
        <v>HYD</v>
      </c>
      <c r="J14" t="str">
        <f t="shared" si="1"/>
        <v>25</v>
      </c>
      <c r="K14" t="str">
        <f t="shared" si="2"/>
        <v>013</v>
      </c>
      <c r="L14" t="str">
        <f t="shared" si="3"/>
        <v>Farhan Ali-Hyderabad</v>
      </c>
      <c r="M14" t="str">
        <f>_xlfn.XLOOKUP(Sales_Performance[[#This Row],[Product Code]],Table2[Product Code],Table2[Product])</f>
        <v>Laptop Stand</v>
      </c>
      <c r="N14" t="str">
        <f>VLOOKUP(Sales_Performance[[#This Row],[Product Code]],Table2[#All],3,0)</f>
        <v>Accessories</v>
      </c>
      <c r="O14">
        <f>_xlfn.XLOOKUP(Sales_Performance[[#This Row],[Product Code]],Table2[Product Code],Table2[Unit Price])</f>
        <v>1200</v>
      </c>
      <c r="P14">
        <f>VLOOKUP(Sales_Performance[[#This Row],[Product Code]],Table2[],5,0)</f>
        <v>800</v>
      </c>
      <c r="Q14" t="str">
        <f>VLOOKUP(D14,'City Lookup'!$A$3:$B$5,2,0)</f>
        <v>South</v>
      </c>
      <c r="R14">
        <f t="shared" si="4"/>
        <v>3600</v>
      </c>
      <c r="S14">
        <f t="shared" si="5"/>
        <v>2400</v>
      </c>
      <c r="T14">
        <f t="shared" si="6"/>
        <v>1200</v>
      </c>
      <c r="U14" s="2">
        <f t="shared" si="7"/>
        <v>0.33333333333333331</v>
      </c>
      <c r="V14" t="str">
        <f t="shared" si="8"/>
        <v>High Performance</v>
      </c>
      <c r="W14" t="str">
        <f t="shared" si="9"/>
        <v>Rivew</v>
      </c>
    </row>
    <row r="15" spans="1:23" x14ac:dyDescent="0.3">
      <c r="A15" t="s">
        <v>40</v>
      </c>
      <c r="B15" s="1">
        <v>45675</v>
      </c>
      <c r="C15" s="1" t="s">
        <v>41</v>
      </c>
      <c r="D15" t="s">
        <v>14</v>
      </c>
      <c r="E15" t="s">
        <v>20</v>
      </c>
      <c r="F15">
        <v>2</v>
      </c>
      <c r="G15" t="s">
        <v>16</v>
      </c>
      <c r="H15" t="s">
        <v>22</v>
      </c>
      <c r="I15" t="str">
        <f t="shared" si="0"/>
        <v>MUM</v>
      </c>
      <c r="J15" t="str">
        <f t="shared" si="1"/>
        <v>25</v>
      </c>
      <c r="K15" t="str">
        <f t="shared" si="2"/>
        <v>014</v>
      </c>
      <c r="L15" t="str">
        <f t="shared" si="3"/>
        <v>Nisha Das-Mumbai</v>
      </c>
      <c r="M15" t="str">
        <f>_xlfn.XLOOKUP(Sales_Performance[[#This Row],[Product Code]],Table2[Product Code],Table2[Product])</f>
        <v>Keyboard</v>
      </c>
      <c r="N15" t="str">
        <f>VLOOKUP(Sales_Performance[[#This Row],[Product Code]],Table2[#All],3,0)</f>
        <v>Accessories</v>
      </c>
      <c r="O15">
        <f>_xlfn.XLOOKUP(Sales_Performance[[#This Row],[Product Code]],Table2[Product Code],Table2[Unit Price])</f>
        <v>1500</v>
      </c>
      <c r="P15">
        <f>VLOOKUP(Sales_Performance[[#This Row],[Product Code]],Table2[],5,0)</f>
        <v>900</v>
      </c>
      <c r="Q15" t="str">
        <f>VLOOKUP(D15,'City Lookup'!$A$3:$B$5,2,0)</f>
        <v>West</v>
      </c>
      <c r="R15">
        <f t="shared" si="4"/>
        <v>3000</v>
      </c>
      <c r="S15">
        <f t="shared" si="5"/>
        <v>1800</v>
      </c>
      <c r="T15">
        <f t="shared" si="6"/>
        <v>1200</v>
      </c>
      <c r="U15" s="2">
        <f t="shared" si="7"/>
        <v>0.4</v>
      </c>
      <c r="V15" t="str">
        <f t="shared" si="8"/>
        <v>High Performance</v>
      </c>
      <c r="W15" t="str">
        <f t="shared" si="9"/>
        <v>Rivew</v>
      </c>
    </row>
    <row r="16" spans="1:23" x14ac:dyDescent="0.3">
      <c r="A16" t="s">
        <v>42</v>
      </c>
      <c r="B16" s="1">
        <v>45676</v>
      </c>
      <c r="C16" s="1" t="s">
        <v>43</v>
      </c>
      <c r="D16" t="s">
        <v>19</v>
      </c>
      <c r="E16" t="s">
        <v>15</v>
      </c>
      <c r="F16">
        <v>4</v>
      </c>
      <c r="G16" t="s">
        <v>28</v>
      </c>
      <c r="H16" t="s">
        <v>17</v>
      </c>
      <c r="I16" t="str">
        <f t="shared" si="0"/>
        <v>DEL</v>
      </c>
      <c r="J16" t="str">
        <f t="shared" si="1"/>
        <v>25</v>
      </c>
      <c r="K16" t="str">
        <f t="shared" si="2"/>
        <v>015</v>
      </c>
      <c r="L16" t="str">
        <f t="shared" si="3"/>
        <v>Ravi Kumar-Delhi</v>
      </c>
      <c r="M16" t="str">
        <f>_xlfn.XLOOKUP(Sales_Performance[[#This Row],[Product Code]],Table2[Product Code],Table2[Product])</f>
        <v>Wireless Mouse</v>
      </c>
      <c r="N16" t="str">
        <f>VLOOKUP(Sales_Performance[[#This Row],[Product Code]],Table2[#All],3,0)</f>
        <v>Accessories</v>
      </c>
      <c r="O16">
        <f>_xlfn.XLOOKUP(Sales_Performance[[#This Row],[Product Code]],Table2[Product Code],Table2[Unit Price])</f>
        <v>800</v>
      </c>
      <c r="P16">
        <f>VLOOKUP(Sales_Performance[[#This Row],[Product Code]],Table2[],5,0)</f>
        <v>450</v>
      </c>
      <c r="Q16" t="str">
        <f>VLOOKUP(D16,'City Lookup'!$A$3:$B$5,2,0)</f>
        <v>North</v>
      </c>
      <c r="R16">
        <f t="shared" si="4"/>
        <v>3200</v>
      </c>
      <c r="S16">
        <f t="shared" si="5"/>
        <v>1800</v>
      </c>
      <c r="T16">
        <f t="shared" si="6"/>
        <v>1400</v>
      </c>
      <c r="U16" s="2">
        <f t="shared" si="7"/>
        <v>0.4375</v>
      </c>
      <c r="V16" t="str">
        <f t="shared" si="8"/>
        <v>High Performance</v>
      </c>
      <c r="W16" t="str">
        <f t="shared" si="9"/>
        <v>Rivew</v>
      </c>
    </row>
    <row r="17" spans="1:23" x14ac:dyDescent="0.3">
      <c r="A17" t="s">
        <v>44</v>
      </c>
      <c r="B17" s="1">
        <v>45677</v>
      </c>
      <c r="C17" s="1" t="s">
        <v>45</v>
      </c>
      <c r="D17" t="s">
        <v>9</v>
      </c>
      <c r="E17" t="s">
        <v>32</v>
      </c>
      <c r="F17">
        <v>1</v>
      </c>
      <c r="G17" t="s">
        <v>21</v>
      </c>
      <c r="H17" t="s">
        <v>12</v>
      </c>
      <c r="I17" t="str">
        <f t="shared" si="0"/>
        <v>HYD</v>
      </c>
      <c r="J17" t="str">
        <f t="shared" si="1"/>
        <v>25</v>
      </c>
      <c r="K17" t="str">
        <f t="shared" si="2"/>
        <v>016</v>
      </c>
      <c r="L17" t="str">
        <f t="shared" si="3"/>
        <v>Pooja Rao-Hyderabad</v>
      </c>
      <c r="M17" t="str">
        <f>_xlfn.XLOOKUP(Sales_Performance[[#This Row],[Product Code]],Table2[Product Code],Table2[Product])</f>
        <v>Webcam</v>
      </c>
      <c r="N17" t="str">
        <f>VLOOKUP(Sales_Performance[[#This Row],[Product Code]],Table2[#All],3,0)</f>
        <v>Electronics</v>
      </c>
      <c r="O17">
        <f>_xlfn.XLOOKUP(Sales_Performance[[#This Row],[Product Code]],Table2[Product Code],Table2[Unit Price])</f>
        <v>4500</v>
      </c>
      <c r="P17">
        <f>VLOOKUP(Sales_Performance[[#This Row],[Product Code]],Table2[],5,0)</f>
        <v>2800</v>
      </c>
      <c r="Q17" t="str">
        <f>VLOOKUP(D17,'City Lookup'!$A$3:$B$5,2,0)</f>
        <v>South</v>
      </c>
      <c r="R17">
        <f t="shared" si="4"/>
        <v>4500</v>
      </c>
      <c r="S17">
        <f t="shared" si="5"/>
        <v>2800</v>
      </c>
      <c r="T17">
        <f t="shared" si="6"/>
        <v>1700</v>
      </c>
      <c r="U17" s="2">
        <f t="shared" si="7"/>
        <v>0.37777777777777777</v>
      </c>
      <c r="V17" t="str">
        <f t="shared" si="8"/>
        <v>High Performance</v>
      </c>
      <c r="W17" t="str">
        <f t="shared" si="9"/>
        <v>Rivew</v>
      </c>
    </row>
    <row r="18" spans="1:23" x14ac:dyDescent="0.3">
      <c r="A18" t="s">
        <v>46</v>
      </c>
      <c r="B18" s="1">
        <v>45678</v>
      </c>
      <c r="C18" s="1" t="s">
        <v>47</v>
      </c>
      <c r="D18" t="s">
        <v>14</v>
      </c>
      <c r="E18" t="s">
        <v>24</v>
      </c>
      <c r="F18">
        <v>3</v>
      </c>
      <c r="G18" t="s">
        <v>16</v>
      </c>
      <c r="H18" t="s">
        <v>17</v>
      </c>
      <c r="I18" t="str">
        <f t="shared" si="0"/>
        <v>MUM</v>
      </c>
      <c r="J18" t="str">
        <f t="shared" si="1"/>
        <v>25</v>
      </c>
      <c r="K18" t="str">
        <f t="shared" si="2"/>
        <v>017</v>
      </c>
      <c r="L18" t="str">
        <f t="shared" si="3"/>
        <v>Imran Khan-Mumbai</v>
      </c>
      <c r="M18" t="str">
        <f>_xlfn.XLOOKUP(Sales_Performance[[#This Row],[Product Code]],Table2[Product Code],Table2[Product])</f>
        <v>Monitor</v>
      </c>
      <c r="N18" t="str">
        <f>VLOOKUP(Sales_Performance[[#This Row],[Product Code]],Table2[#All],3,0)</f>
        <v>Electronics</v>
      </c>
      <c r="O18">
        <f>_xlfn.XLOOKUP(Sales_Performance[[#This Row],[Product Code]],Table2[Product Code],Table2[Unit Price])</f>
        <v>12000</v>
      </c>
      <c r="P18">
        <f>VLOOKUP(Sales_Performance[[#This Row],[Product Code]],Table2[],5,0)</f>
        <v>8500</v>
      </c>
      <c r="Q18" t="str">
        <f>VLOOKUP(D18,'City Lookup'!$A$3:$B$5,2,0)</f>
        <v>West</v>
      </c>
      <c r="R18">
        <f t="shared" si="4"/>
        <v>36000</v>
      </c>
      <c r="S18">
        <f t="shared" si="5"/>
        <v>25500</v>
      </c>
      <c r="T18">
        <f t="shared" si="6"/>
        <v>10500</v>
      </c>
      <c r="U18" s="2">
        <f t="shared" si="7"/>
        <v>0.29166666666666669</v>
      </c>
      <c r="V18" t="str">
        <f t="shared" si="8"/>
        <v>High Performance</v>
      </c>
      <c r="W18" t="str">
        <f t="shared" si="9"/>
        <v>Rivew</v>
      </c>
    </row>
    <row r="19" spans="1:23" x14ac:dyDescent="0.3">
      <c r="A19" t="s">
        <v>48</v>
      </c>
      <c r="B19" s="1">
        <v>45679</v>
      </c>
      <c r="C19" s="1" t="s">
        <v>49</v>
      </c>
      <c r="D19" t="s">
        <v>19</v>
      </c>
      <c r="E19" t="s">
        <v>27</v>
      </c>
      <c r="F19">
        <v>2</v>
      </c>
      <c r="G19" t="s">
        <v>28</v>
      </c>
      <c r="H19" t="s">
        <v>12</v>
      </c>
      <c r="I19" t="str">
        <f t="shared" si="0"/>
        <v>DEL</v>
      </c>
      <c r="J19" t="str">
        <f t="shared" si="1"/>
        <v>25</v>
      </c>
      <c r="K19" t="str">
        <f t="shared" si="2"/>
        <v>018</v>
      </c>
      <c r="L19" t="str">
        <f t="shared" si="3"/>
        <v>Divya Shah-Delhi</v>
      </c>
      <c r="M19" t="str">
        <f>_xlfn.XLOOKUP(Sales_Performance[[#This Row],[Product Code]],Table2[Product Code],Table2[Product])</f>
        <v>Headset</v>
      </c>
      <c r="N19" t="str">
        <f>VLOOKUP(Sales_Performance[[#This Row],[Product Code]],Table2[#All],3,0)</f>
        <v>Electronics</v>
      </c>
      <c r="O19">
        <f>_xlfn.XLOOKUP(Sales_Performance[[#This Row],[Product Code]],Table2[Product Code],Table2[Unit Price])</f>
        <v>3000</v>
      </c>
      <c r="P19">
        <f>VLOOKUP(Sales_Performance[[#This Row],[Product Code]],Table2[],5,0)</f>
        <v>1800</v>
      </c>
      <c r="Q19" t="str">
        <f>VLOOKUP(D19,'City Lookup'!$A$3:$B$5,2,0)</f>
        <v>North</v>
      </c>
      <c r="R19">
        <f t="shared" si="4"/>
        <v>6000</v>
      </c>
      <c r="S19">
        <f t="shared" si="5"/>
        <v>3600</v>
      </c>
      <c r="T19">
        <f t="shared" si="6"/>
        <v>2400</v>
      </c>
      <c r="U19" s="2">
        <f t="shared" si="7"/>
        <v>0.4</v>
      </c>
      <c r="V19" t="str">
        <f t="shared" si="8"/>
        <v>High Performance</v>
      </c>
      <c r="W19" t="str">
        <f t="shared" si="9"/>
        <v>Rivew</v>
      </c>
    </row>
    <row r="20" spans="1:23" x14ac:dyDescent="0.3">
      <c r="A20" t="s">
        <v>50</v>
      </c>
      <c r="B20" s="1">
        <v>45680</v>
      </c>
      <c r="C20" s="1" t="s">
        <v>69</v>
      </c>
      <c r="D20" t="s">
        <v>9</v>
      </c>
      <c r="E20" t="s">
        <v>10</v>
      </c>
      <c r="F20">
        <v>2</v>
      </c>
      <c r="G20" t="s">
        <v>11</v>
      </c>
      <c r="H20" t="s">
        <v>12</v>
      </c>
      <c r="I20" t="str">
        <f t="shared" si="0"/>
        <v>HYD</v>
      </c>
      <c r="J20" t="str">
        <f t="shared" si="1"/>
        <v>25</v>
      </c>
      <c r="K20" t="str">
        <f t="shared" si="2"/>
        <v>019</v>
      </c>
      <c r="L20" t="str">
        <f t="shared" si="3"/>
        <v>Rahul Sharma-Hyderabad</v>
      </c>
      <c r="M20" t="str">
        <f>_xlfn.XLOOKUP(Sales_Performance[[#This Row],[Product Code]],Table2[Product Code],Table2[Product])</f>
        <v>Laptop Stand</v>
      </c>
      <c r="N20" t="str">
        <f>VLOOKUP(Sales_Performance[[#This Row],[Product Code]],Table2[#All],3,0)</f>
        <v>Accessories</v>
      </c>
      <c r="O20">
        <f>_xlfn.XLOOKUP(Sales_Performance[[#This Row],[Product Code]],Table2[Product Code],Table2[Unit Price])</f>
        <v>1200</v>
      </c>
      <c r="P20">
        <f>VLOOKUP(Sales_Performance[[#This Row],[Product Code]],Table2[],5,0)</f>
        <v>800</v>
      </c>
      <c r="Q20" t="str">
        <f>VLOOKUP(D20,'City Lookup'!$A$3:$B$5,2,0)</f>
        <v>South</v>
      </c>
      <c r="R20">
        <f t="shared" si="4"/>
        <v>2400</v>
      </c>
      <c r="S20">
        <f t="shared" si="5"/>
        <v>1600</v>
      </c>
      <c r="T20">
        <f t="shared" si="6"/>
        <v>800</v>
      </c>
      <c r="U20" s="2">
        <f t="shared" si="7"/>
        <v>0.33333333333333331</v>
      </c>
      <c r="V20" t="str">
        <f t="shared" si="8"/>
        <v>High Performance</v>
      </c>
      <c r="W20" t="str">
        <f t="shared" si="9"/>
        <v>Rivew</v>
      </c>
    </row>
    <row r="21" spans="1:23" x14ac:dyDescent="0.3">
      <c r="A21" t="s">
        <v>51</v>
      </c>
      <c r="B21" s="1">
        <v>45681</v>
      </c>
      <c r="C21" s="1" t="s">
        <v>52</v>
      </c>
      <c r="D21" t="s">
        <v>14</v>
      </c>
      <c r="E21" t="s">
        <v>15</v>
      </c>
      <c r="F21">
        <v>1</v>
      </c>
      <c r="G21" t="s">
        <v>16</v>
      </c>
      <c r="H21" t="s">
        <v>17</v>
      </c>
      <c r="I21" t="str">
        <f t="shared" si="0"/>
        <v>MUM</v>
      </c>
      <c r="J21" t="str">
        <f t="shared" si="1"/>
        <v>25</v>
      </c>
      <c r="K21" t="str">
        <f t="shared" si="2"/>
        <v>020</v>
      </c>
      <c r="L21" t="str">
        <f t="shared" si="3"/>
        <v>Priya Reddy-Mumbai</v>
      </c>
      <c r="M21" t="str">
        <f>_xlfn.XLOOKUP(Sales_Performance[[#This Row],[Product Code]],Table2[Product Code],Table2[Product])</f>
        <v>Wireless Mouse</v>
      </c>
      <c r="N21" t="str">
        <f>VLOOKUP(Sales_Performance[[#This Row],[Product Code]],Table2[#All],3,0)</f>
        <v>Accessories</v>
      </c>
      <c r="O21">
        <f>_xlfn.XLOOKUP(Sales_Performance[[#This Row],[Product Code]],Table2[Product Code],Table2[Unit Price])</f>
        <v>800</v>
      </c>
      <c r="P21">
        <f>VLOOKUP(Sales_Performance[[#This Row],[Product Code]],Table2[],5,0)</f>
        <v>450</v>
      </c>
      <c r="Q21" t="str">
        <f>VLOOKUP(D21,'City Lookup'!$A$3:$B$5,2,0)</f>
        <v>West</v>
      </c>
      <c r="R21">
        <f t="shared" si="4"/>
        <v>800</v>
      </c>
      <c r="S21">
        <f t="shared" si="5"/>
        <v>450</v>
      </c>
      <c r="T21">
        <f t="shared" si="6"/>
        <v>350</v>
      </c>
      <c r="U21" s="2">
        <f t="shared" si="7"/>
        <v>0.4375</v>
      </c>
      <c r="V21" t="str">
        <f t="shared" si="8"/>
        <v>Regular</v>
      </c>
      <c r="W21" t="str">
        <f t="shared" si="9"/>
        <v>Normal</v>
      </c>
    </row>
    <row r="23" spans="1:23" x14ac:dyDescent="0.3">
      <c r="R23" s="6"/>
      <c r="T23" s="7"/>
    </row>
    <row r="24" spans="1:23" x14ac:dyDescent="0.3">
      <c r="R24" s="6"/>
      <c r="T24" s="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6451F-8CD1-49E3-9706-2ABFBE0026AD}">
  <dimension ref="A1:E7"/>
  <sheetViews>
    <sheetView workbookViewId="0">
      <selection activeCell="E17" sqref="E17"/>
    </sheetView>
  </sheetViews>
  <sheetFormatPr defaultRowHeight="14.4" x14ac:dyDescent="0.3"/>
  <cols>
    <col min="1" max="1" width="14.33203125" customWidth="1"/>
    <col min="2" max="2" width="14" customWidth="1"/>
    <col min="3" max="3" width="10.44140625" customWidth="1"/>
    <col min="4" max="4" width="11" customWidth="1"/>
    <col min="5" max="5" width="13.77734375" customWidth="1"/>
  </cols>
  <sheetData>
    <row r="1" spans="1:5" x14ac:dyDescent="0.3">
      <c r="A1" t="s">
        <v>4</v>
      </c>
      <c r="B1" t="s">
        <v>53</v>
      </c>
      <c r="C1" t="s">
        <v>54</v>
      </c>
      <c r="D1" t="s">
        <v>55</v>
      </c>
      <c r="E1" t="s">
        <v>56</v>
      </c>
    </row>
    <row r="2" spans="1:5" x14ac:dyDescent="0.3">
      <c r="A2" t="s">
        <v>10</v>
      </c>
      <c r="B2" t="s">
        <v>57</v>
      </c>
      <c r="C2" t="s">
        <v>58</v>
      </c>
      <c r="D2">
        <v>1200</v>
      </c>
      <c r="E2">
        <v>800</v>
      </c>
    </row>
    <row r="3" spans="1:5" x14ac:dyDescent="0.3">
      <c r="A3" t="s">
        <v>15</v>
      </c>
      <c r="B3" t="s">
        <v>59</v>
      </c>
      <c r="C3" t="s">
        <v>58</v>
      </c>
      <c r="D3">
        <v>800</v>
      </c>
      <c r="E3">
        <v>450</v>
      </c>
    </row>
    <row r="4" spans="1:5" x14ac:dyDescent="0.3">
      <c r="A4" t="s">
        <v>20</v>
      </c>
      <c r="B4" t="s">
        <v>60</v>
      </c>
      <c r="C4" t="s">
        <v>58</v>
      </c>
      <c r="D4">
        <v>1500</v>
      </c>
      <c r="E4">
        <v>900</v>
      </c>
    </row>
    <row r="5" spans="1:5" x14ac:dyDescent="0.3">
      <c r="A5" t="s">
        <v>24</v>
      </c>
      <c r="B5" t="s">
        <v>61</v>
      </c>
      <c r="C5" t="s">
        <v>62</v>
      </c>
      <c r="D5">
        <v>12000</v>
      </c>
      <c r="E5">
        <v>8500</v>
      </c>
    </row>
    <row r="6" spans="1:5" x14ac:dyDescent="0.3">
      <c r="A6" t="s">
        <v>27</v>
      </c>
      <c r="B6" t="s">
        <v>63</v>
      </c>
      <c r="C6" t="s">
        <v>62</v>
      </c>
      <c r="D6">
        <v>3000</v>
      </c>
      <c r="E6">
        <v>1800</v>
      </c>
    </row>
    <row r="7" spans="1:5" x14ac:dyDescent="0.3">
      <c r="A7" t="s">
        <v>32</v>
      </c>
      <c r="B7" t="s">
        <v>64</v>
      </c>
      <c r="C7" t="s">
        <v>62</v>
      </c>
      <c r="D7">
        <v>4500</v>
      </c>
      <c r="E7">
        <v>2800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01185-D5AE-4408-93D9-DCA0574974C8}">
  <dimension ref="A1:B5"/>
  <sheetViews>
    <sheetView workbookViewId="0">
      <selection activeCell="G21" sqref="G21"/>
    </sheetView>
  </sheetViews>
  <sheetFormatPr defaultRowHeight="14.4" x14ac:dyDescent="0.3"/>
  <cols>
    <col min="1" max="2" width="10.44140625" customWidth="1"/>
  </cols>
  <sheetData>
    <row r="1" spans="1:2" x14ac:dyDescent="0.3">
      <c r="A1" t="s">
        <v>93</v>
      </c>
      <c r="B1" t="s">
        <v>94</v>
      </c>
    </row>
    <row r="2" spans="1:2" x14ac:dyDescent="0.3">
      <c r="A2" t="s">
        <v>3</v>
      </c>
      <c r="B2" t="s">
        <v>65</v>
      </c>
    </row>
    <row r="3" spans="1:2" x14ac:dyDescent="0.3">
      <c r="A3" t="s">
        <v>9</v>
      </c>
      <c r="B3" t="s">
        <v>66</v>
      </c>
    </row>
    <row r="4" spans="1:2" x14ac:dyDescent="0.3">
      <c r="A4" t="s">
        <v>14</v>
      </c>
      <c r="B4" t="s">
        <v>67</v>
      </c>
    </row>
    <row r="5" spans="1:2" x14ac:dyDescent="0.3">
      <c r="A5" t="s">
        <v>19</v>
      </c>
      <c r="B5" t="s">
        <v>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Insights</vt:lpstr>
      <vt:lpstr>Dash Board</vt:lpstr>
      <vt:lpstr>Pivot Table</vt:lpstr>
      <vt:lpstr>Raw Data</vt:lpstr>
      <vt:lpstr>Product Lookup</vt:lpstr>
      <vt:lpstr>City 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Sanjeev K</cp:lastModifiedBy>
  <dcterms:created xsi:type="dcterms:W3CDTF">2026-10-02T04:35:40Z</dcterms:created>
  <dcterms:modified xsi:type="dcterms:W3CDTF">2026-10-09T16:20:21Z</dcterms:modified>
</cp:coreProperties>
</file>